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ean-philippe/Documents/Codex/Caisse_MSP/"/>
    </mc:Choice>
  </mc:AlternateContent>
  <xr:revisionPtr revIDLastSave="0" documentId="13_ncr:1_{E4261582-0E08-E04C-BF40-E09F6DA72B63}" xr6:coauthVersionLast="47" xr6:coauthVersionMax="47" xr10:uidLastSave="{00000000-0000-0000-0000-000000000000}"/>
  <bookViews>
    <workbookView xWindow="0" yWindow="660" windowWidth="27400" windowHeight="16980" xr2:uid="{00000000-000D-0000-FFFF-FFFF00000000}"/>
  </bookViews>
  <sheets>
    <sheet name="ACCUEIL" sheetId="1" r:id="rId1"/>
    <sheet name="CONFIG" sheetId="2" state="hidden" r:id="rId2"/>
    <sheet name="MODELE_JOUR" sheetId="3" r:id="rId3"/>
  </sheets>
  <functionGroups builtInGroupCount="19"/>
  <definedNames>
    <definedName name="_xlpm.dates" hidden="1" xlm="1">#NAME?</definedName>
    <definedName name="_xlpm.dernierNom" hidden="1" xlm="1">#NAME?</definedName>
    <definedName name="_xlpm.noms" hidden="1" xlm="1">#NAME?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" i="3" l="1"/>
  <c r="E62" i="3"/>
  <c r="W2" i="1" l="1"/>
  <c r="X2" i="1" s="1"/>
  <c r="W3" i="1"/>
  <c r="X3" i="1" s="1"/>
  <c r="W4" i="1"/>
  <c r="X4" i="1" s="1"/>
  <c r="W5" i="1"/>
  <c r="X5" i="1" s="1"/>
  <c r="W6" i="1"/>
  <c r="X6" i="1" s="1"/>
  <c r="W7" i="1"/>
  <c r="X7" i="1" s="1"/>
  <c r="W8" i="1"/>
  <c r="X8" i="1" s="1"/>
  <c r="W9" i="1"/>
  <c r="X9" i="1" s="1"/>
  <c r="W10" i="1"/>
  <c r="X10" i="1" s="1"/>
  <c r="W11" i="1"/>
  <c r="X11" i="1" s="1"/>
  <c r="W12" i="1"/>
  <c r="X12" i="1" s="1"/>
  <c r="W13" i="1"/>
  <c r="X13" i="1" s="1"/>
  <c r="W14" i="1"/>
  <c r="X14" i="1" s="1"/>
  <c r="W15" i="1"/>
  <c r="X15" i="1" s="1"/>
  <c r="W16" i="1"/>
  <c r="X16" i="1" s="1"/>
  <c r="W17" i="1"/>
  <c r="X17" i="1" s="1"/>
  <c r="W18" i="1"/>
  <c r="X18" i="1" s="1"/>
  <c r="W19" i="1"/>
  <c r="X19" i="1" s="1"/>
  <c r="W20" i="1"/>
  <c r="X20" i="1" s="1"/>
  <c r="W21" i="1"/>
  <c r="X21" i="1" s="1"/>
  <c r="W22" i="1"/>
  <c r="X22" i="1" s="1"/>
  <c r="W23" i="1"/>
  <c r="X23" i="1" s="1"/>
  <c r="W24" i="1"/>
  <c r="X24" i="1" s="1"/>
  <c r="W25" i="1"/>
  <c r="X25" i="1" s="1"/>
  <c r="W26" i="1"/>
  <c r="X26" i="1" s="1"/>
  <c r="W27" i="1"/>
  <c r="X27" i="1" s="1"/>
  <c r="W28" i="1"/>
  <c r="X28" i="1" s="1"/>
  <c r="W29" i="1"/>
  <c r="X29" i="1" s="1"/>
  <c r="W30" i="1"/>
  <c r="X30" i="1" s="1"/>
  <c r="W31" i="1"/>
  <c r="X31" i="1" s="1"/>
  <c r="W32" i="1"/>
  <c r="X32" i="1" s="1"/>
  <c r="W33" i="1"/>
  <c r="X33" i="1" s="1"/>
  <c r="W34" i="1"/>
  <c r="X34" i="1" s="1"/>
  <c r="W35" i="1"/>
  <c r="X35" i="1" s="1"/>
  <c r="W36" i="1"/>
  <c r="X36" i="1" s="1"/>
  <c r="W37" i="1"/>
  <c r="X37" i="1" s="1"/>
  <c r="W38" i="1"/>
  <c r="X38" i="1" s="1"/>
  <c r="W39" i="1"/>
  <c r="X39" i="1" s="1"/>
  <c r="W40" i="1"/>
  <c r="X40" i="1" s="1"/>
  <c r="W41" i="1"/>
  <c r="X41" i="1" s="1"/>
  <c r="W42" i="1"/>
  <c r="X42" i="1" s="1"/>
  <c r="W43" i="1"/>
  <c r="X43" i="1" s="1"/>
  <c r="W44" i="1"/>
  <c r="X44" i="1" s="1"/>
  <c r="W45" i="1"/>
  <c r="X45" i="1" s="1"/>
  <c r="W46" i="1"/>
  <c r="X46" i="1" s="1"/>
  <c r="W47" i="1"/>
  <c r="X47" i="1" s="1"/>
  <c r="W48" i="1"/>
  <c r="X48" i="1" s="1"/>
  <c r="W49" i="1"/>
  <c r="X49" i="1" s="1"/>
  <c r="W50" i="1"/>
  <c r="X50" i="1" s="1"/>
  <c r="W51" i="1"/>
  <c r="X51" i="1" s="1"/>
  <c r="W52" i="1"/>
  <c r="X52" i="1" s="1"/>
  <c r="W53" i="1"/>
  <c r="X53" i="1" s="1"/>
  <c r="W54" i="1"/>
  <c r="X54" i="1" s="1"/>
  <c r="W55" i="1"/>
  <c r="X55" i="1" s="1"/>
  <c r="W56" i="1"/>
  <c r="X56" i="1" s="1"/>
  <c r="W57" i="1"/>
  <c r="X57" i="1" s="1"/>
  <c r="W58" i="1"/>
  <c r="X58" i="1" s="1"/>
  <c r="W59" i="1"/>
  <c r="X59" i="1" s="1"/>
  <c r="W60" i="1"/>
  <c r="X60" i="1" s="1"/>
  <c r="W61" i="1"/>
  <c r="X61" i="1" s="1"/>
  <c r="W62" i="1"/>
  <c r="X62" i="1" s="1"/>
  <c r="W63" i="1"/>
  <c r="X63" i="1" s="1"/>
  <c r="W64" i="1"/>
  <c r="X64" i="1" s="1"/>
  <c r="W65" i="1"/>
  <c r="X65" i="1" s="1"/>
  <c r="W66" i="1"/>
  <c r="X66" i="1" s="1"/>
  <c r="W67" i="1"/>
  <c r="X67" i="1" s="1"/>
  <c r="W68" i="1"/>
  <c r="X68" i="1" s="1"/>
  <c r="W69" i="1"/>
  <c r="X69" i="1" s="1"/>
  <c r="W70" i="1"/>
  <c r="X70" i="1" s="1"/>
  <c r="W71" i="1"/>
  <c r="X71" i="1" s="1"/>
  <c r="W72" i="1"/>
  <c r="X72" i="1" s="1"/>
  <c r="W73" i="1"/>
  <c r="X73" i="1" s="1"/>
  <c r="W74" i="1"/>
  <c r="X74" i="1" s="1"/>
  <c r="W75" i="1"/>
  <c r="X75" i="1" s="1"/>
  <c r="W76" i="1"/>
  <c r="X76" i="1" s="1"/>
  <c r="W77" i="1"/>
  <c r="X77" i="1" s="1"/>
  <c r="W78" i="1"/>
  <c r="X78" i="1" s="1"/>
  <c r="W79" i="1"/>
  <c r="X79" i="1" s="1"/>
  <c r="W80" i="1"/>
  <c r="X80" i="1" s="1"/>
  <c r="W81" i="1"/>
  <c r="X81" i="1" s="1"/>
  <c r="W82" i="1"/>
  <c r="X82" i="1" s="1"/>
  <c r="W83" i="1"/>
  <c r="X83" i="1" s="1"/>
  <c r="W84" i="1"/>
  <c r="X84" i="1" s="1"/>
  <c r="W85" i="1"/>
  <c r="X85" i="1" s="1"/>
  <c r="W86" i="1"/>
  <c r="X86" i="1" s="1"/>
  <c r="W87" i="1"/>
  <c r="X87" i="1" s="1"/>
  <c r="W88" i="1"/>
  <c r="X88" i="1" s="1"/>
  <c r="W89" i="1"/>
  <c r="X89" i="1" s="1"/>
  <c r="W90" i="1"/>
  <c r="X90" i="1" s="1"/>
  <c r="W91" i="1"/>
  <c r="X91" i="1" s="1"/>
  <c r="W92" i="1"/>
  <c r="X92" i="1" s="1"/>
  <c r="W93" i="1"/>
  <c r="X93" i="1" s="1"/>
  <c r="W94" i="1"/>
  <c r="X94" i="1" s="1"/>
  <c r="W95" i="1"/>
  <c r="X95" i="1" s="1"/>
  <c r="W96" i="1"/>
  <c r="X96" i="1" s="1"/>
  <c r="W97" i="1"/>
  <c r="X97" i="1" s="1"/>
  <c r="W98" i="1"/>
  <c r="X98" i="1" s="1"/>
  <c r="W99" i="1"/>
  <c r="X99" i="1" s="1"/>
  <c r="W100" i="1"/>
  <c r="X100" i="1" s="1"/>
  <c r="W101" i="1"/>
  <c r="X101" i="1" s="1"/>
  <c r="W102" i="1"/>
  <c r="X102" i="1" s="1"/>
  <c r="W103" i="1"/>
  <c r="X103" i="1" s="1"/>
  <c r="W104" i="1"/>
  <c r="X104" i="1" s="1"/>
  <c r="W105" i="1"/>
  <c r="X105" i="1" s="1"/>
  <c r="W106" i="1"/>
  <c r="X106" i="1" s="1"/>
  <c r="W107" i="1"/>
  <c r="X107" i="1" s="1"/>
  <c r="W108" i="1"/>
  <c r="X108" i="1" s="1"/>
  <c r="W109" i="1"/>
  <c r="X109" i="1" s="1"/>
  <c r="W110" i="1"/>
  <c r="X110" i="1" s="1"/>
  <c r="W111" i="1"/>
  <c r="X111" i="1" s="1"/>
  <c r="W112" i="1"/>
  <c r="X112" i="1" s="1"/>
  <c r="W113" i="1"/>
  <c r="X113" i="1" s="1"/>
  <c r="W114" i="1"/>
  <c r="X114" i="1" s="1"/>
  <c r="W115" i="1"/>
  <c r="X115" i="1" s="1"/>
  <c r="W116" i="1"/>
  <c r="X116" i="1" s="1"/>
  <c r="W117" i="1"/>
  <c r="X117" i="1" s="1"/>
  <c r="W118" i="1"/>
  <c r="X118" i="1" s="1"/>
  <c r="W119" i="1"/>
  <c r="X119" i="1" s="1"/>
  <c r="W120" i="1"/>
  <c r="X120" i="1" s="1"/>
  <c r="W121" i="1"/>
  <c r="X121" i="1" s="1"/>
  <c r="W122" i="1"/>
  <c r="X122" i="1" s="1"/>
  <c r="W123" i="1"/>
  <c r="X123" i="1" s="1"/>
  <c r="W124" i="1"/>
  <c r="X124" i="1" s="1"/>
  <c r="W125" i="1"/>
  <c r="X125" i="1" s="1"/>
  <c r="W126" i="1"/>
  <c r="X126" i="1" s="1"/>
  <c r="W127" i="1"/>
  <c r="X127" i="1" s="1"/>
  <c r="W128" i="1"/>
  <c r="X128" i="1" s="1"/>
  <c r="W129" i="1"/>
  <c r="X129" i="1" s="1"/>
  <c r="W130" i="1"/>
  <c r="X130" i="1" s="1"/>
  <c r="W131" i="1"/>
  <c r="X131" i="1" s="1"/>
  <c r="W132" i="1"/>
  <c r="X132" i="1" s="1"/>
  <c r="W133" i="1"/>
  <c r="X133" i="1" s="1"/>
  <c r="W134" i="1"/>
  <c r="X134" i="1" s="1"/>
  <c r="W135" i="1"/>
  <c r="X135" i="1" s="1"/>
  <c r="W136" i="1"/>
  <c r="X136" i="1" s="1"/>
  <c r="W137" i="1"/>
  <c r="X137" i="1" s="1"/>
  <c r="W138" i="1"/>
  <c r="X138" i="1" s="1"/>
  <c r="W139" i="1"/>
  <c r="X139" i="1" s="1"/>
  <c r="W140" i="1"/>
  <c r="X140" i="1" s="1"/>
  <c r="W141" i="1"/>
  <c r="X141" i="1" s="1"/>
  <c r="W142" i="1"/>
  <c r="X142" i="1" s="1"/>
  <c r="W143" i="1"/>
  <c r="X143" i="1" s="1"/>
  <c r="W144" i="1"/>
  <c r="X144" i="1" s="1"/>
  <c r="W145" i="1"/>
  <c r="X145" i="1" s="1"/>
  <c r="W146" i="1"/>
  <c r="X146" i="1" s="1"/>
  <c r="W147" i="1"/>
  <c r="X147" i="1" s="1"/>
  <c r="W148" i="1"/>
  <c r="X148" i="1" s="1"/>
  <c r="W149" i="1"/>
  <c r="X149" i="1" s="1"/>
  <c r="W150" i="1"/>
  <c r="X150" i="1" s="1"/>
  <c r="W151" i="1"/>
  <c r="X151" i="1" s="1"/>
  <c r="W152" i="1"/>
  <c r="X152" i="1" s="1"/>
  <c r="W153" i="1"/>
  <c r="X153" i="1" s="1"/>
  <c r="W154" i="1"/>
  <c r="X154" i="1" s="1"/>
  <c r="W155" i="1"/>
  <c r="X155" i="1" s="1"/>
  <c r="W156" i="1"/>
  <c r="X156" i="1" s="1"/>
  <c r="W157" i="1"/>
  <c r="X157" i="1" s="1"/>
  <c r="W158" i="1"/>
  <c r="X158" i="1" s="1"/>
  <c r="W159" i="1"/>
  <c r="X159" i="1" s="1"/>
  <c r="W160" i="1"/>
  <c r="X160" i="1" s="1"/>
  <c r="W161" i="1"/>
  <c r="X161" i="1" s="1"/>
  <c r="W162" i="1"/>
  <c r="X162" i="1" s="1"/>
  <c r="W163" i="1"/>
  <c r="X163" i="1" s="1"/>
  <c r="W164" i="1"/>
  <c r="X164" i="1" s="1"/>
  <c r="W165" i="1"/>
  <c r="X165" i="1" s="1"/>
  <c r="W166" i="1"/>
  <c r="X166" i="1" s="1"/>
  <c r="W167" i="1"/>
  <c r="X167" i="1" s="1"/>
  <c r="W168" i="1"/>
  <c r="X168" i="1" s="1"/>
  <c r="W169" i="1"/>
  <c r="X169" i="1" s="1"/>
  <c r="W170" i="1"/>
  <c r="X170" i="1" s="1"/>
  <c r="W171" i="1"/>
  <c r="X171" i="1" s="1"/>
  <c r="W172" i="1"/>
  <c r="X172" i="1" s="1"/>
  <c r="W173" i="1"/>
  <c r="X173" i="1" s="1"/>
  <c r="W174" i="1"/>
  <c r="X174" i="1" s="1"/>
  <c r="W175" i="1"/>
  <c r="X175" i="1" s="1"/>
  <c r="W176" i="1"/>
  <c r="X176" i="1" s="1"/>
  <c r="W177" i="1"/>
  <c r="X177" i="1" s="1"/>
  <c r="W178" i="1"/>
  <c r="X178" i="1" s="1"/>
  <c r="W179" i="1"/>
  <c r="X179" i="1" s="1"/>
  <c r="W180" i="1"/>
  <c r="X180" i="1" s="1"/>
  <c r="W181" i="1"/>
  <c r="X181" i="1" s="1"/>
  <c r="W182" i="1"/>
  <c r="X182" i="1" s="1"/>
  <c r="W183" i="1"/>
  <c r="X183" i="1" s="1"/>
  <c r="W184" i="1"/>
  <c r="X184" i="1" s="1"/>
  <c r="W185" i="1"/>
  <c r="X185" i="1" s="1"/>
  <c r="W186" i="1"/>
  <c r="X186" i="1" s="1"/>
  <c r="W187" i="1"/>
  <c r="X187" i="1" s="1"/>
  <c r="W188" i="1"/>
  <c r="X188" i="1" s="1"/>
  <c r="W189" i="1"/>
  <c r="X189" i="1" s="1"/>
  <c r="W190" i="1"/>
  <c r="X190" i="1" s="1"/>
  <c r="W191" i="1"/>
  <c r="X191" i="1" s="1"/>
  <c r="W192" i="1"/>
  <c r="X192" i="1" s="1"/>
  <c r="W193" i="1"/>
  <c r="X193" i="1" s="1"/>
  <c r="W194" i="1"/>
  <c r="X194" i="1" s="1"/>
  <c r="W195" i="1"/>
  <c r="X195" i="1" s="1"/>
  <c r="W196" i="1"/>
  <c r="X196" i="1" s="1"/>
  <c r="W197" i="1"/>
  <c r="X197" i="1" s="1"/>
  <c r="W198" i="1"/>
  <c r="X198" i="1" s="1"/>
  <c r="W199" i="1"/>
  <c r="X199" i="1" s="1"/>
  <c r="W200" i="1"/>
  <c r="X200" i="1" s="1"/>
  <c r="W201" i="1"/>
  <c r="X201" i="1" s="1"/>
  <c r="W202" i="1"/>
  <c r="X202" i="1" s="1"/>
  <c r="W203" i="1"/>
  <c r="X203" i="1" s="1"/>
  <c r="W204" i="1"/>
  <c r="X204" i="1" s="1"/>
  <c r="W205" i="1"/>
  <c r="X205" i="1" s="1"/>
  <c r="W206" i="1"/>
  <c r="X206" i="1" s="1"/>
  <c r="W207" i="1"/>
  <c r="X207" i="1" s="1"/>
  <c r="W208" i="1"/>
  <c r="X208" i="1" s="1"/>
  <c r="W209" i="1"/>
  <c r="X209" i="1" s="1"/>
  <c r="W210" i="1"/>
  <c r="X210" i="1" s="1"/>
  <c r="W211" i="1"/>
  <c r="X211" i="1" s="1"/>
  <c r="W212" i="1"/>
  <c r="X212" i="1" s="1"/>
  <c r="W213" i="1"/>
  <c r="X213" i="1" s="1"/>
  <c r="W214" i="1"/>
  <c r="X214" i="1" s="1"/>
  <c r="W215" i="1"/>
  <c r="X215" i="1" s="1"/>
  <c r="W216" i="1"/>
  <c r="X216" i="1" s="1"/>
  <c r="W217" i="1"/>
  <c r="X217" i="1" s="1"/>
  <c r="W218" i="1"/>
  <c r="X218" i="1" s="1"/>
  <c r="W219" i="1"/>
  <c r="X219" i="1" s="1"/>
  <c r="W220" i="1"/>
  <c r="X220" i="1" s="1"/>
  <c r="W221" i="1"/>
  <c r="X221" i="1" s="1"/>
  <c r="W222" i="1"/>
  <c r="X222" i="1" s="1"/>
  <c r="W223" i="1"/>
  <c r="X223" i="1" s="1"/>
  <c r="W224" i="1"/>
  <c r="X224" i="1" s="1"/>
  <c r="W225" i="1"/>
  <c r="X225" i="1" s="1"/>
  <c r="W226" i="1"/>
  <c r="X226" i="1" s="1"/>
  <c r="W227" i="1"/>
  <c r="X227" i="1" s="1"/>
  <c r="W228" i="1"/>
  <c r="X228" i="1" s="1"/>
  <c r="W229" i="1"/>
  <c r="X229" i="1" s="1"/>
  <c r="W230" i="1"/>
  <c r="X230" i="1" s="1"/>
  <c r="W231" i="1"/>
  <c r="X231" i="1" s="1"/>
  <c r="W232" i="1"/>
  <c r="X232" i="1" s="1"/>
  <c r="W233" i="1"/>
  <c r="X233" i="1" s="1"/>
  <c r="W234" i="1"/>
  <c r="X234" i="1" s="1"/>
  <c r="W235" i="1"/>
  <c r="X235" i="1" s="1"/>
  <c r="W236" i="1"/>
  <c r="X236" i="1" s="1"/>
  <c r="W237" i="1"/>
  <c r="X237" i="1" s="1"/>
  <c r="W238" i="1"/>
  <c r="X238" i="1" s="1"/>
  <c r="W239" i="1"/>
  <c r="X239" i="1" s="1"/>
  <c r="W240" i="1"/>
  <c r="X240" i="1" s="1"/>
  <c r="W241" i="1"/>
  <c r="X241" i="1" s="1"/>
  <c r="W242" i="1"/>
  <c r="X242" i="1" s="1"/>
  <c r="W243" i="1"/>
  <c r="X243" i="1" s="1"/>
  <c r="W244" i="1"/>
  <c r="X244" i="1" s="1"/>
  <c r="W245" i="1"/>
  <c r="X245" i="1" s="1"/>
  <c r="W246" i="1"/>
  <c r="X246" i="1" s="1"/>
  <c r="W247" i="1"/>
  <c r="X247" i="1" s="1"/>
  <c r="W248" i="1"/>
  <c r="X248" i="1" s="1"/>
  <c r="W249" i="1"/>
  <c r="X249" i="1" s="1"/>
  <c r="W250" i="1"/>
  <c r="X250" i="1" s="1"/>
  <c r="W251" i="1"/>
  <c r="X251" i="1" s="1"/>
  <c r="W252" i="1"/>
  <c r="X252" i="1" s="1"/>
  <c r="W253" i="1"/>
  <c r="X253" i="1" s="1"/>
  <c r="W254" i="1"/>
  <c r="X254" i="1" s="1"/>
  <c r="W255" i="1"/>
  <c r="X255" i="1" s="1"/>
  <c r="W256" i="1"/>
  <c r="X256" i="1" s="1"/>
  <c r="W257" i="1"/>
  <c r="X257" i="1" s="1"/>
  <c r="W258" i="1"/>
  <c r="X258" i="1" s="1"/>
  <c r="W259" i="1"/>
  <c r="X259" i="1" s="1"/>
  <c r="W260" i="1"/>
  <c r="X260" i="1" s="1"/>
  <c r="W261" i="1"/>
  <c r="X261" i="1" s="1"/>
  <c r="W262" i="1"/>
  <c r="X262" i="1" s="1"/>
  <c r="W263" i="1"/>
  <c r="X263" i="1" s="1"/>
  <c r="W264" i="1"/>
  <c r="X264" i="1" s="1"/>
  <c r="W265" i="1"/>
  <c r="X265" i="1" s="1"/>
  <c r="W266" i="1"/>
  <c r="X266" i="1" s="1"/>
  <c r="W267" i="1"/>
  <c r="X267" i="1" s="1"/>
  <c r="W268" i="1"/>
  <c r="X268" i="1" s="1"/>
  <c r="W269" i="1"/>
  <c r="X269" i="1" s="1"/>
  <c r="W270" i="1"/>
  <c r="X270" i="1" s="1"/>
  <c r="W271" i="1"/>
  <c r="X271" i="1" s="1"/>
  <c r="W272" i="1"/>
  <c r="X272" i="1" s="1"/>
  <c r="W273" i="1"/>
  <c r="X273" i="1" s="1"/>
  <c r="W274" i="1"/>
  <c r="X274" i="1" s="1"/>
  <c r="W275" i="1"/>
  <c r="X275" i="1" s="1"/>
  <c r="W276" i="1"/>
  <c r="X276" i="1" s="1"/>
  <c r="W277" i="1"/>
  <c r="X277" i="1" s="1"/>
  <c r="W278" i="1"/>
  <c r="X278" i="1" s="1"/>
  <c r="W279" i="1"/>
  <c r="X279" i="1" s="1"/>
  <c r="W280" i="1"/>
  <c r="X280" i="1" s="1"/>
  <c r="W281" i="1"/>
  <c r="X281" i="1" s="1"/>
  <c r="W282" i="1"/>
  <c r="X282" i="1" s="1"/>
  <c r="W283" i="1"/>
  <c r="X283" i="1" s="1"/>
  <c r="W284" i="1"/>
  <c r="X284" i="1" s="1"/>
  <c r="W285" i="1"/>
  <c r="X285" i="1" s="1"/>
  <c r="W286" i="1"/>
  <c r="X286" i="1" s="1"/>
  <c r="W287" i="1"/>
  <c r="X287" i="1" s="1"/>
  <c r="W288" i="1"/>
  <c r="X288" i="1" s="1"/>
  <c r="W289" i="1"/>
  <c r="X289" i="1" s="1"/>
  <c r="W290" i="1"/>
  <c r="X290" i="1" s="1"/>
  <c r="W291" i="1"/>
  <c r="X291" i="1" s="1"/>
  <c r="W292" i="1"/>
  <c r="X292" i="1" s="1"/>
  <c r="W293" i="1"/>
  <c r="X293" i="1" s="1"/>
  <c r="W294" i="1"/>
  <c r="X294" i="1" s="1"/>
  <c r="W295" i="1"/>
  <c r="X295" i="1" s="1"/>
  <c r="W296" i="1"/>
  <c r="X296" i="1" s="1"/>
  <c r="W297" i="1"/>
  <c r="X297" i="1" s="1"/>
  <c r="W298" i="1"/>
  <c r="X298" i="1" s="1"/>
  <c r="W299" i="1"/>
  <c r="X299" i="1" s="1"/>
  <c r="W300" i="1"/>
  <c r="X300" i="1" s="1"/>
  <c r="W301" i="1"/>
  <c r="X301" i="1" s="1"/>
  <c r="W302" i="1"/>
  <c r="X302" i="1" s="1"/>
  <c r="W303" i="1"/>
  <c r="X303" i="1" s="1"/>
  <c r="W304" i="1"/>
  <c r="X304" i="1" s="1"/>
  <c r="W305" i="1"/>
  <c r="X305" i="1" s="1"/>
  <c r="W306" i="1"/>
  <c r="X306" i="1" s="1"/>
  <c r="W307" i="1"/>
  <c r="X307" i="1" s="1"/>
  <c r="W308" i="1"/>
  <c r="X308" i="1" s="1"/>
  <c r="W309" i="1"/>
  <c r="X309" i="1" s="1"/>
  <c r="W310" i="1"/>
  <c r="X310" i="1" s="1"/>
  <c r="W311" i="1"/>
  <c r="X311" i="1" s="1"/>
  <c r="W312" i="1"/>
  <c r="X312" i="1" s="1"/>
  <c r="W313" i="1"/>
  <c r="X313" i="1" s="1"/>
  <c r="W314" i="1"/>
  <c r="X314" i="1" s="1"/>
  <c r="W315" i="1"/>
  <c r="X315" i="1" s="1"/>
  <c r="W316" i="1"/>
  <c r="X316" i="1" s="1"/>
  <c r="W317" i="1"/>
  <c r="X317" i="1" s="1"/>
  <c r="W318" i="1"/>
  <c r="X318" i="1" s="1"/>
  <c r="W319" i="1"/>
  <c r="X319" i="1" s="1"/>
  <c r="W320" i="1"/>
  <c r="X320" i="1" s="1"/>
  <c r="W321" i="1"/>
  <c r="X321" i="1" s="1"/>
  <c r="W322" i="1"/>
  <c r="X322" i="1" s="1"/>
  <c r="W323" i="1"/>
  <c r="X323" i="1" s="1"/>
  <c r="W324" i="1"/>
  <c r="X324" i="1" s="1"/>
  <c r="W325" i="1"/>
  <c r="X325" i="1" s="1"/>
  <c r="W326" i="1"/>
  <c r="X326" i="1" s="1"/>
  <c r="W327" i="1"/>
  <c r="X327" i="1" s="1"/>
  <c r="W328" i="1"/>
  <c r="X328" i="1" s="1"/>
  <c r="W329" i="1"/>
  <c r="X329" i="1" s="1"/>
  <c r="W330" i="1"/>
  <c r="X330" i="1" s="1"/>
  <c r="W331" i="1"/>
  <c r="X331" i="1" s="1"/>
  <c r="W332" i="1"/>
  <c r="X332" i="1" s="1"/>
  <c r="W333" i="1"/>
  <c r="X333" i="1" s="1"/>
  <c r="W334" i="1"/>
  <c r="X334" i="1" s="1"/>
  <c r="W335" i="1"/>
  <c r="X335" i="1" s="1"/>
  <c r="W336" i="1"/>
  <c r="X336" i="1" s="1"/>
  <c r="W337" i="1"/>
  <c r="X337" i="1" s="1"/>
  <c r="W338" i="1"/>
  <c r="X338" i="1" s="1"/>
  <c r="W339" i="1"/>
  <c r="X339" i="1" s="1"/>
  <c r="W340" i="1"/>
  <c r="X340" i="1" s="1"/>
  <c r="W341" i="1"/>
  <c r="X341" i="1" s="1"/>
  <c r="W342" i="1"/>
  <c r="X342" i="1" s="1"/>
  <c r="W343" i="1"/>
  <c r="X343" i="1" s="1"/>
  <c r="W344" i="1"/>
  <c r="X344" i="1" s="1"/>
  <c r="W345" i="1"/>
  <c r="X345" i="1" s="1"/>
  <c r="W346" i="1"/>
  <c r="X346" i="1" s="1"/>
  <c r="W347" i="1"/>
  <c r="X347" i="1" s="1"/>
  <c r="W348" i="1"/>
  <c r="X348" i="1" s="1"/>
  <c r="W349" i="1"/>
  <c r="X349" i="1" s="1"/>
  <c r="W350" i="1"/>
  <c r="X350" i="1" s="1"/>
  <c r="W351" i="1"/>
  <c r="X351" i="1" s="1"/>
  <c r="W352" i="1"/>
  <c r="X352" i="1" s="1"/>
  <c r="W353" i="1"/>
  <c r="X353" i="1" s="1"/>
  <c r="W354" i="1"/>
  <c r="X354" i="1" s="1"/>
  <c r="W355" i="1"/>
  <c r="X355" i="1" s="1"/>
  <c r="W356" i="1"/>
  <c r="X356" i="1" s="1"/>
  <c r="W357" i="1"/>
  <c r="X357" i="1" s="1"/>
  <c r="W358" i="1"/>
  <c r="X358" i="1" s="1"/>
  <c r="W359" i="1"/>
  <c r="X359" i="1" s="1"/>
  <c r="W360" i="1"/>
  <c r="X360" i="1" s="1"/>
  <c r="W361" i="1"/>
  <c r="X361" i="1" s="1"/>
  <c r="W362" i="1"/>
  <c r="X362" i="1" s="1"/>
  <c r="W363" i="1"/>
  <c r="X363" i="1" s="1"/>
  <c r="W364" i="1"/>
  <c r="X364" i="1" s="1"/>
  <c r="W365" i="1"/>
  <c r="X365" i="1" s="1"/>
  <c r="W366" i="1"/>
  <c r="X366" i="1" s="1"/>
  <c r="W367" i="1"/>
  <c r="X367" i="1" s="1"/>
  <c r="W368" i="1"/>
  <c r="X368" i="1" s="1"/>
  <c r="W369" i="1"/>
  <c r="X369" i="1" s="1"/>
  <c r="W370" i="1"/>
  <c r="X370" i="1" s="1"/>
  <c r="W371" i="1"/>
  <c r="X371" i="1" s="1"/>
  <c r="W372" i="1"/>
  <c r="X372" i="1" s="1"/>
  <c r="W373" i="1"/>
  <c r="X373" i="1" s="1"/>
  <c r="W374" i="1"/>
  <c r="X374" i="1" s="1"/>
  <c r="W375" i="1"/>
  <c r="X375" i="1" s="1"/>
  <c r="W376" i="1"/>
  <c r="X376" i="1" s="1"/>
  <c r="W377" i="1"/>
  <c r="X377" i="1" s="1"/>
  <c r="W378" i="1"/>
  <c r="X378" i="1" s="1"/>
  <c r="W379" i="1"/>
  <c r="X379" i="1" s="1"/>
  <c r="W380" i="1"/>
  <c r="X380" i="1" s="1"/>
  <c r="W381" i="1"/>
  <c r="X381" i="1" s="1"/>
  <c r="W382" i="1"/>
  <c r="X382" i="1" s="1"/>
  <c r="W383" i="1"/>
  <c r="X383" i="1" s="1"/>
  <c r="W384" i="1"/>
  <c r="X384" i="1" s="1"/>
  <c r="W385" i="1"/>
  <c r="X385" i="1" s="1"/>
  <c r="W386" i="1"/>
  <c r="X386" i="1" s="1"/>
  <c r="W387" i="1"/>
  <c r="X387" i="1" s="1"/>
  <c r="W388" i="1"/>
  <c r="X388" i="1" s="1"/>
  <c r="W389" i="1"/>
  <c r="X389" i="1" s="1"/>
  <c r="W390" i="1"/>
  <c r="X390" i="1" s="1"/>
  <c r="W391" i="1"/>
  <c r="X391" i="1" s="1"/>
  <c r="W392" i="1"/>
  <c r="X392" i="1" s="1"/>
  <c r="W393" i="1"/>
  <c r="X393" i="1" s="1"/>
  <c r="W394" i="1"/>
  <c r="X394" i="1" s="1"/>
  <c r="W395" i="1"/>
  <c r="X395" i="1" s="1"/>
  <c r="W396" i="1"/>
  <c r="X396" i="1" s="1"/>
  <c r="W397" i="1"/>
  <c r="X397" i="1" s="1"/>
  <c r="W398" i="1"/>
  <c r="X398" i="1" s="1"/>
  <c r="W399" i="1"/>
  <c r="X399" i="1" s="1"/>
  <c r="W400" i="1"/>
  <c r="X400" i="1" s="1"/>
  <c r="W401" i="1"/>
  <c r="X401" i="1" s="1"/>
  <c r="W402" i="1"/>
  <c r="X402" i="1" s="1"/>
  <c r="W403" i="1"/>
  <c r="X403" i="1" s="1"/>
  <c r="W404" i="1"/>
  <c r="X404" i="1" s="1"/>
  <c r="W405" i="1"/>
  <c r="X405" i="1" s="1"/>
  <c r="W406" i="1"/>
  <c r="X406" i="1" s="1"/>
  <c r="W407" i="1"/>
  <c r="X407" i="1" s="1"/>
  <c r="W408" i="1"/>
  <c r="X408" i="1" s="1"/>
  <c r="W409" i="1"/>
  <c r="X409" i="1" s="1"/>
  <c r="W410" i="1"/>
  <c r="X410" i="1" s="1"/>
  <c r="W411" i="1"/>
  <c r="X411" i="1" s="1"/>
  <c r="W412" i="1"/>
  <c r="X412" i="1" s="1"/>
  <c r="W413" i="1"/>
  <c r="X413" i="1" s="1"/>
  <c r="W414" i="1"/>
  <c r="X414" i="1" s="1"/>
  <c r="W415" i="1"/>
  <c r="X415" i="1" s="1"/>
  <c r="W416" i="1"/>
  <c r="X416" i="1" s="1"/>
  <c r="W417" i="1"/>
  <c r="X417" i="1" s="1"/>
  <c r="W418" i="1"/>
  <c r="X418" i="1" s="1"/>
  <c r="W419" i="1"/>
  <c r="X419" i="1" s="1"/>
  <c r="W420" i="1"/>
  <c r="X420" i="1" s="1"/>
  <c r="W421" i="1"/>
  <c r="X421" i="1" s="1"/>
  <c r="W422" i="1"/>
  <c r="X422" i="1" s="1"/>
  <c r="W423" i="1"/>
  <c r="X423" i="1" s="1"/>
  <c r="W424" i="1"/>
  <c r="X424" i="1" s="1"/>
  <c r="W425" i="1"/>
  <c r="X425" i="1" s="1"/>
  <c r="W426" i="1"/>
  <c r="X426" i="1" s="1"/>
  <c r="W427" i="1"/>
  <c r="X427" i="1" s="1"/>
  <c r="W428" i="1"/>
  <c r="X428" i="1" s="1"/>
  <c r="W429" i="1"/>
  <c r="X429" i="1" s="1"/>
  <c r="W430" i="1"/>
  <c r="X430" i="1" s="1"/>
  <c r="W431" i="1"/>
  <c r="X431" i="1" s="1"/>
  <c r="W432" i="1"/>
  <c r="X432" i="1" s="1"/>
  <c r="W433" i="1"/>
  <c r="X433" i="1" s="1"/>
  <c r="W434" i="1"/>
  <c r="X434" i="1" s="1"/>
  <c r="W435" i="1"/>
  <c r="X435" i="1" s="1"/>
  <c r="W436" i="1"/>
  <c r="X436" i="1" s="1"/>
  <c r="W437" i="1"/>
  <c r="X437" i="1" s="1"/>
  <c r="W438" i="1"/>
  <c r="X438" i="1" s="1"/>
  <c r="W439" i="1"/>
  <c r="X439" i="1" s="1"/>
  <c r="W440" i="1"/>
  <c r="X440" i="1" s="1"/>
  <c r="W441" i="1"/>
  <c r="X441" i="1" s="1"/>
  <c r="W442" i="1"/>
  <c r="X442" i="1" s="1"/>
  <c r="W443" i="1"/>
  <c r="X443" i="1" s="1"/>
  <c r="W444" i="1"/>
  <c r="X444" i="1" s="1"/>
  <c r="W445" i="1"/>
  <c r="X445" i="1" s="1"/>
  <c r="W446" i="1"/>
  <c r="X446" i="1" s="1"/>
  <c r="W447" i="1"/>
  <c r="X447" i="1" s="1"/>
  <c r="W448" i="1"/>
  <c r="X448" i="1" s="1"/>
  <c r="W449" i="1"/>
  <c r="X449" i="1" s="1"/>
  <c r="W450" i="1"/>
  <c r="X450" i="1" s="1"/>
  <c r="W451" i="1"/>
  <c r="X451" i="1" s="1"/>
  <c r="W452" i="1"/>
  <c r="X452" i="1" s="1"/>
  <c r="W453" i="1"/>
  <c r="X453" i="1" s="1"/>
  <c r="W454" i="1"/>
  <c r="X454" i="1" s="1"/>
  <c r="W455" i="1"/>
  <c r="X455" i="1" s="1"/>
  <c r="W456" i="1"/>
  <c r="X456" i="1" s="1"/>
  <c r="W457" i="1"/>
  <c r="X457" i="1" s="1"/>
  <c r="W458" i="1"/>
  <c r="X458" i="1" s="1"/>
  <c r="W459" i="1"/>
  <c r="X459" i="1" s="1"/>
  <c r="W460" i="1"/>
  <c r="X460" i="1" s="1"/>
  <c r="W461" i="1"/>
  <c r="X461" i="1" s="1"/>
  <c r="W462" i="1"/>
  <c r="X462" i="1" s="1"/>
  <c r="W463" i="1"/>
  <c r="X463" i="1" s="1"/>
  <c r="W464" i="1"/>
  <c r="X464" i="1" s="1"/>
  <c r="W465" i="1"/>
  <c r="X465" i="1" s="1"/>
  <c r="W466" i="1"/>
  <c r="X466" i="1" s="1"/>
  <c r="W467" i="1"/>
  <c r="X467" i="1" s="1"/>
  <c r="W468" i="1"/>
  <c r="X468" i="1" s="1"/>
  <c r="W469" i="1"/>
  <c r="X469" i="1" s="1"/>
  <c r="W470" i="1"/>
  <c r="X470" i="1" s="1"/>
  <c r="W471" i="1"/>
  <c r="X471" i="1" s="1"/>
  <c r="W472" i="1"/>
  <c r="X472" i="1" s="1"/>
  <c r="W473" i="1"/>
  <c r="X473" i="1" s="1"/>
  <c r="W474" i="1"/>
  <c r="X474" i="1" s="1"/>
  <c r="W475" i="1"/>
  <c r="X475" i="1" s="1"/>
  <c r="W476" i="1"/>
  <c r="X476" i="1" s="1"/>
  <c r="W477" i="1"/>
  <c r="X477" i="1" s="1"/>
  <c r="W478" i="1"/>
  <c r="X478" i="1" s="1"/>
  <c r="W479" i="1"/>
  <c r="X479" i="1" s="1"/>
  <c r="W480" i="1"/>
  <c r="X480" i="1" s="1"/>
  <c r="W481" i="1"/>
  <c r="X481" i="1" s="1"/>
  <c r="W482" i="1"/>
  <c r="X482" i="1" s="1"/>
  <c r="W483" i="1"/>
  <c r="X483" i="1" s="1"/>
  <c r="W484" i="1"/>
  <c r="X484" i="1" s="1"/>
  <c r="W485" i="1"/>
  <c r="X485" i="1" s="1"/>
  <c r="W486" i="1"/>
  <c r="X486" i="1" s="1"/>
  <c r="W487" i="1"/>
  <c r="X487" i="1" s="1"/>
  <c r="W488" i="1"/>
  <c r="X488" i="1" s="1"/>
  <c r="W489" i="1"/>
  <c r="X489" i="1" s="1"/>
  <c r="W490" i="1"/>
  <c r="X490" i="1" s="1"/>
  <c r="W491" i="1"/>
  <c r="X491" i="1" s="1"/>
  <c r="W492" i="1"/>
  <c r="X492" i="1" s="1"/>
  <c r="W493" i="1"/>
  <c r="X493" i="1" s="1"/>
  <c r="W494" i="1"/>
  <c r="X494" i="1" s="1"/>
  <c r="W495" i="1"/>
  <c r="X495" i="1" s="1"/>
  <c r="W496" i="1"/>
  <c r="X496" i="1" s="1"/>
  <c r="W497" i="1"/>
  <c r="X497" i="1" s="1"/>
  <c r="W498" i="1"/>
  <c r="X498" i="1" s="1"/>
  <c r="W499" i="1"/>
  <c r="X499" i="1" s="1"/>
  <c r="W500" i="1"/>
  <c r="X500" i="1" s="1"/>
  <c r="W501" i="1"/>
  <c r="X501" i="1" s="1"/>
  <c r="W502" i="1"/>
  <c r="X502" i="1" s="1"/>
  <c r="W503" i="1"/>
  <c r="X503" i="1" s="1"/>
  <c r="W504" i="1"/>
  <c r="X504" i="1" s="1"/>
  <c r="W505" i="1"/>
  <c r="X505" i="1" s="1"/>
  <c r="W506" i="1"/>
  <c r="X506" i="1" s="1"/>
  <c r="W507" i="1"/>
  <c r="X507" i="1" s="1"/>
  <c r="W508" i="1"/>
  <c r="X508" i="1" s="1"/>
  <c r="W509" i="1"/>
  <c r="X509" i="1" s="1"/>
  <c r="W510" i="1"/>
  <c r="X510" i="1" s="1"/>
  <c r="W511" i="1"/>
  <c r="X511" i="1" s="1"/>
  <c r="W512" i="1"/>
  <c r="X512" i="1" s="1"/>
  <c r="W513" i="1"/>
  <c r="X513" i="1" s="1"/>
  <c r="W514" i="1"/>
  <c r="X514" i="1" s="1"/>
  <c r="W515" i="1"/>
  <c r="X515" i="1" s="1"/>
  <c r="W516" i="1"/>
  <c r="X516" i="1" s="1"/>
  <c r="W517" i="1"/>
  <c r="X517" i="1" s="1"/>
  <c r="W518" i="1"/>
  <c r="X518" i="1" s="1"/>
  <c r="W519" i="1"/>
  <c r="X519" i="1" s="1"/>
  <c r="W520" i="1"/>
  <c r="X520" i="1" s="1"/>
  <c r="W521" i="1"/>
  <c r="X521" i="1" s="1"/>
  <c r="W522" i="1"/>
  <c r="X522" i="1" s="1"/>
  <c r="W523" i="1"/>
  <c r="X523" i="1" s="1"/>
  <c r="W524" i="1"/>
  <c r="X524" i="1" s="1"/>
  <c r="W525" i="1"/>
  <c r="X525" i="1" s="1"/>
  <c r="W526" i="1"/>
  <c r="X526" i="1" s="1"/>
  <c r="W527" i="1"/>
  <c r="X527" i="1" s="1"/>
  <c r="W528" i="1"/>
  <c r="X528" i="1" s="1"/>
  <c r="W529" i="1"/>
  <c r="X529" i="1" s="1"/>
  <c r="W530" i="1"/>
  <c r="X530" i="1" s="1"/>
  <c r="W531" i="1"/>
  <c r="X531" i="1" s="1"/>
  <c r="W532" i="1"/>
  <c r="X532" i="1" s="1"/>
  <c r="W533" i="1"/>
  <c r="X533" i="1" s="1"/>
  <c r="W534" i="1"/>
  <c r="X534" i="1" s="1"/>
  <c r="W535" i="1"/>
  <c r="X535" i="1" s="1"/>
  <c r="W536" i="1"/>
  <c r="X536" i="1" s="1"/>
  <c r="W537" i="1"/>
  <c r="X537" i="1" s="1"/>
  <c r="W538" i="1"/>
  <c r="X538" i="1" s="1"/>
  <c r="W539" i="1"/>
  <c r="X539" i="1" s="1"/>
  <c r="W540" i="1"/>
  <c r="X540" i="1" s="1"/>
  <c r="W541" i="1"/>
  <c r="X541" i="1" s="1"/>
  <c r="W542" i="1"/>
  <c r="X542" i="1" s="1"/>
  <c r="W543" i="1"/>
  <c r="X543" i="1" s="1"/>
  <c r="W544" i="1"/>
  <c r="X544" i="1" s="1"/>
  <c r="W545" i="1"/>
  <c r="X545" i="1" s="1"/>
  <c r="W546" i="1"/>
  <c r="X546" i="1" s="1"/>
  <c r="W547" i="1"/>
  <c r="X547" i="1" s="1"/>
  <c r="W548" i="1"/>
  <c r="X548" i="1" s="1"/>
  <c r="W549" i="1"/>
  <c r="X549" i="1" s="1"/>
  <c r="W550" i="1"/>
  <c r="X550" i="1" s="1"/>
  <c r="W551" i="1"/>
  <c r="X551" i="1" s="1"/>
  <c r="W552" i="1"/>
  <c r="X552" i="1" s="1"/>
  <c r="W553" i="1"/>
  <c r="X553" i="1" s="1"/>
  <c r="W554" i="1"/>
  <c r="X554" i="1" s="1"/>
  <c r="W555" i="1"/>
  <c r="X555" i="1" s="1"/>
  <c r="W556" i="1"/>
  <c r="X556" i="1" s="1"/>
  <c r="W557" i="1"/>
  <c r="X557" i="1" s="1"/>
  <c r="W558" i="1"/>
  <c r="X558" i="1" s="1"/>
  <c r="W559" i="1"/>
  <c r="X559" i="1" s="1"/>
  <c r="W560" i="1"/>
  <c r="X560" i="1" s="1"/>
  <c r="W561" i="1"/>
  <c r="X561" i="1" s="1"/>
  <c r="W562" i="1"/>
  <c r="X562" i="1" s="1"/>
  <c r="W563" i="1"/>
  <c r="X563" i="1" s="1"/>
  <c r="W564" i="1"/>
  <c r="X564" i="1" s="1"/>
  <c r="W565" i="1"/>
  <c r="X565" i="1" s="1"/>
  <c r="W566" i="1"/>
  <c r="X566" i="1" s="1"/>
  <c r="W567" i="1"/>
  <c r="X567" i="1" s="1"/>
  <c r="W568" i="1"/>
  <c r="X568" i="1" s="1"/>
  <c r="W569" i="1"/>
  <c r="X569" i="1" s="1"/>
  <c r="W570" i="1"/>
  <c r="X570" i="1" s="1"/>
  <c r="W571" i="1"/>
  <c r="X571" i="1" s="1"/>
  <c r="W572" i="1"/>
  <c r="X572" i="1" s="1"/>
  <c r="W573" i="1"/>
  <c r="X573" i="1" s="1"/>
  <c r="W574" i="1"/>
  <c r="X574" i="1" s="1"/>
  <c r="W575" i="1"/>
  <c r="X575" i="1" s="1"/>
  <c r="W576" i="1"/>
  <c r="X576" i="1" s="1"/>
  <c r="W577" i="1"/>
  <c r="X577" i="1" s="1"/>
  <c r="W578" i="1"/>
  <c r="X578" i="1" s="1"/>
  <c r="W579" i="1"/>
  <c r="X579" i="1" s="1"/>
  <c r="W580" i="1"/>
  <c r="X580" i="1" s="1"/>
  <c r="W581" i="1"/>
  <c r="X581" i="1" s="1"/>
  <c r="W582" i="1"/>
  <c r="X582" i="1" s="1"/>
  <c r="W583" i="1"/>
  <c r="X583" i="1" s="1"/>
  <c r="W584" i="1"/>
  <c r="X584" i="1" s="1"/>
  <c r="W585" i="1"/>
  <c r="X585" i="1" s="1"/>
  <c r="W586" i="1"/>
  <c r="X586" i="1" s="1"/>
  <c r="W587" i="1"/>
  <c r="X587" i="1" s="1"/>
  <c r="W588" i="1"/>
  <c r="X588" i="1" s="1"/>
  <c r="W589" i="1"/>
  <c r="X589" i="1" s="1"/>
  <c r="W590" i="1"/>
  <c r="X590" i="1" s="1"/>
  <c r="W591" i="1"/>
  <c r="X591" i="1" s="1"/>
  <c r="W592" i="1"/>
  <c r="X592" i="1" s="1"/>
  <c r="W593" i="1"/>
  <c r="X593" i="1" s="1"/>
  <c r="W594" i="1"/>
  <c r="X594" i="1" s="1"/>
  <c r="W595" i="1"/>
  <c r="X595" i="1" s="1"/>
  <c r="W596" i="1"/>
  <c r="X596" i="1" s="1"/>
  <c r="W597" i="1"/>
  <c r="X597" i="1" s="1"/>
  <c r="W598" i="1"/>
  <c r="X598" i="1" s="1"/>
  <c r="W599" i="1"/>
  <c r="X599" i="1" s="1"/>
  <c r="W600" i="1"/>
  <c r="X600" i="1" s="1"/>
  <c r="W601" i="1"/>
  <c r="X601" i="1" s="1"/>
  <c r="W602" i="1"/>
  <c r="X602" i="1" s="1"/>
  <c r="W603" i="1"/>
  <c r="X603" i="1" s="1"/>
  <c r="W604" i="1"/>
  <c r="X604" i="1" s="1"/>
  <c r="W605" i="1"/>
  <c r="X605" i="1" s="1"/>
  <c r="W606" i="1"/>
  <c r="X606" i="1" s="1"/>
  <c r="W607" i="1"/>
  <c r="X607" i="1" s="1"/>
  <c r="W608" i="1"/>
  <c r="X608" i="1" s="1"/>
  <c r="W609" i="1"/>
  <c r="X609" i="1" s="1"/>
  <c r="W610" i="1"/>
  <c r="X610" i="1" s="1"/>
  <c r="W611" i="1"/>
  <c r="X611" i="1" s="1"/>
  <c r="W612" i="1"/>
  <c r="X612" i="1" s="1"/>
  <c r="W613" i="1"/>
  <c r="X613" i="1" s="1"/>
  <c r="W614" i="1"/>
  <c r="X614" i="1" s="1"/>
  <c r="W615" i="1"/>
  <c r="X615" i="1" s="1"/>
  <c r="W616" i="1"/>
  <c r="X616" i="1" s="1"/>
  <c r="W617" i="1"/>
  <c r="X617" i="1" s="1"/>
  <c r="W618" i="1"/>
  <c r="X618" i="1" s="1"/>
  <c r="W619" i="1"/>
  <c r="X619" i="1" s="1"/>
  <c r="W620" i="1"/>
  <c r="X620" i="1" s="1"/>
  <c r="W621" i="1"/>
  <c r="X621" i="1" s="1"/>
  <c r="W622" i="1"/>
  <c r="X622" i="1" s="1"/>
  <c r="W623" i="1"/>
  <c r="X623" i="1" s="1"/>
  <c r="W624" i="1"/>
  <c r="X624" i="1" s="1"/>
  <c r="W625" i="1"/>
  <c r="X625" i="1" s="1"/>
  <c r="W626" i="1"/>
  <c r="X626" i="1" s="1"/>
  <c r="W627" i="1"/>
  <c r="X627" i="1" s="1"/>
  <c r="W628" i="1"/>
  <c r="X628" i="1" s="1"/>
  <c r="W629" i="1"/>
  <c r="X629" i="1" s="1"/>
  <c r="W630" i="1"/>
  <c r="X630" i="1" s="1"/>
  <c r="W631" i="1"/>
  <c r="X631" i="1" s="1"/>
  <c r="W632" i="1"/>
  <c r="X632" i="1" s="1"/>
  <c r="W633" i="1"/>
  <c r="X633" i="1" s="1"/>
  <c r="W634" i="1"/>
  <c r="X634" i="1" s="1"/>
  <c r="W635" i="1"/>
  <c r="X635" i="1" s="1"/>
  <c r="W636" i="1"/>
  <c r="X636" i="1" s="1"/>
  <c r="W637" i="1"/>
  <c r="X637" i="1" s="1"/>
  <c r="W638" i="1"/>
  <c r="X638" i="1" s="1"/>
  <c r="W639" i="1"/>
  <c r="X639" i="1" s="1"/>
  <c r="W640" i="1"/>
  <c r="X640" i="1" s="1"/>
  <c r="W641" i="1"/>
  <c r="X641" i="1" s="1"/>
  <c r="W642" i="1"/>
  <c r="X642" i="1" s="1"/>
  <c r="W643" i="1"/>
  <c r="X643" i="1" s="1"/>
  <c r="W644" i="1"/>
  <c r="X644" i="1" s="1"/>
  <c r="W645" i="1"/>
  <c r="X645" i="1" s="1"/>
  <c r="W646" i="1"/>
  <c r="X646" i="1" s="1"/>
  <c r="W647" i="1"/>
  <c r="X647" i="1" s="1"/>
  <c r="W648" i="1"/>
  <c r="X648" i="1" s="1"/>
  <c r="W649" i="1"/>
  <c r="X649" i="1" s="1"/>
  <c r="W650" i="1"/>
  <c r="X650" i="1" s="1"/>
  <c r="W651" i="1"/>
  <c r="X651" i="1" s="1"/>
  <c r="W652" i="1"/>
  <c r="X652" i="1" s="1"/>
  <c r="W653" i="1"/>
  <c r="X653" i="1" s="1"/>
  <c r="W654" i="1"/>
  <c r="X654" i="1" s="1"/>
  <c r="W655" i="1"/>
  <c r="X655" i="1" s="1"/>
  <c r="W656" i="1"/>
  <c r="X656" i="1" s="1"/>
  <c r="W657" i="1"/>
  <c r="X657" i="1" s="1"/>
  <c r="W658" i="1"/>
  <c r="X658" i="1" s="1"/>
  <c r="W659" i="1"/>
  <c r="X659" i="1" s="1"/>
  <c r="W660" i="1"/>
  <c r="X660" i="1" s="1"/>
  <c r="W661" i="1"/>
  <c r="X661" i="1" s="1"/>
  <c r="W662" i="1"/>
  <c r="X662" i="1" s="1"/>
  <c r="W663" i="1"/>
  <c r="X663" i="1" s="1"/>
  <c r="W664" i="1"/>
  <c r="X664" i="1" s="1"/>
  <c r="W665" i="1"/>
  <c r="X665" i="1" s="1"/>
  <c r="W666" i="1"/>
  <c r="X666" i="1" s="1"/>
  <c r="W667" i="1"/>
  <c r="X667" i="1" s="1"/>
  <c r="W668" i="1"/>
  <c r="X668" i="1" s="1"/>
  <c r="W669" i="1"/>
  <c r="X669" i="1" s="1"/>
  <c r="W670" i="1"/>
  <c r="X670" i="1" s="1"/>
  <c r="W671" i="1"/>
  <c r="X671" i="1" s="1"/>
  <c r="W672" i="1"/>
  <c r="X672" i="1" s="1"/>
  <c r="W673" i="1"/>
  <c r="X673" i="1" s="1"/>
  <c r="W674" i="1"/>
  <c r="X674" i="1" s="1"/>
  <c r="W675" i="1"/>
  <c r="X675" i="1" s="1"/>
  <c r="W676" i="1"/>
  <c r="X676" i="1" s="1"/>
  <c r="W677" i="1"/>
  <c r="X677" i="1" s="1"/>
  <c r="W678" i="1"/>
  <c r="X678" i="1" s="1"/>
  <c r="W679" i="1"/>
  <c r="X679" i="1" s="1"/>
  <c r="W680" i="1"/>
  <c r="X680" i="1" s="1"/>
  <c r="W681" i="1"/>
  <c r="X681" i="1" s="1"/>
  <c r="W682" i="1"/>
  <c r="X682" i="1" s="1"/>
  <c r="W683" i="1"/>
  <c r="X683" i="1" s="1"/>
  <c r="W684" i="1"/>
  <c r="X684" i="1" s="1"/>
  <c r="W685" i="1"/>
  <c r="X685" i="1" s="1"/>
  <c r="W686" i="1"/>
  <c r="X686" i="1" s="1"/>
  <c r="W687" i="1"/>
  <c r="X687" i="1" s="1"/>
  <c r="W688" i="1"/>
  <c r="X688" i="1" s="1"/>
  <c r="W689" i="1"/>
  <c r="X689" i="1" s="1"/>
  <c r="W690" i="1"/>
  <c r="X690" i="1" s="1"/>
  <c r="W691" i="1"/>
  <c r="X691" i="1" s="1"/>
  <c r="W692" i="1"/>
  <c r="X692" i="1" s="1"/>
  <c r="W693" i="1"/>
  <c r="X693" i="1" s="1"/>
  <c r="W694" i="1"/>
  <c r="X694" i="1" s="1"/>
  <c r="W695" i="1"/>
  <c r="X695" i="1" s="1"/>
  <c r="W696" i="1"/>
  <c r="X696" i="1" s="1"/>
  <c r="W697" i="1"/>
  <c r="X697" i="1" s="1"/>
  <c r="W698" i="1"/>
  <c r="X698" i="1" s="1"/>
  <c r="W699" i="1"/>
  <c r="X699" i="1" s="1"/>
  <c r="W700" i="1"/>
  <c r="X700" i="1" s="1"/>
  <c r="W701" i="1"/>
  <c r="X701" i="1" s="1"/>
  <c r="W702" i="1"/>
  <c r="X702" i="1" s="1"/>
  <c r="W703" i="1"/>
  <c r="X703" i="1" s="1"/>
  <c r="W704" i="1"/>
  <c r="X704" i="1" s="1"/>
  <c r="W705" i="1"/>
  <c r="X705" i="1" s="1"/>
  <c r="W706" i="1"/>
  <c r="X706" i="1" s="1"/>
  <c r="W707" i="1"/>
  <c r="X707" i="1" s="1"/>
  <c r="W708" i="1"/>
  <c r="X708" i="1" s="1"/>
  <c r="W709" i="1"/>
  <c r="X709" i="1" s="1"/>
  <c r="W710" i="1"/>
  <c r="X710" i="1" s="1"/>
  <c r="W711" i="1"/>
  <c r="X711" i="1" s="1"/>
  <c r="W712" i="1"/>
  <c r="X712" i="1" s="1"/>
  <c r="W713" i="1"/>
  <c r="X713" i="1" s="1"/>
  <c r="W714" i="1"/>
  <c r="X714" i="1" s="1"/>
  <c r="W715" i="1"/>
  <c r="X715" i="1" s="1"/>
  <c r="W716" i="1"/>
  <c r="X716" i="1" s="1"/>
  <c r="W717" i="1"/>
  <c r="X717" i="1" s="1"/>
  <c r="W718" i="1"/>
  <c r="X718" i="1" s="1"/>
  <c r="W719" i="1"/>
  <c r="X719" i="1" s="1"/>
  <c r="W720" i="1"/>
  <c r="X720" i="1" s="1"/>
  <c r="W721" i="1"/>
  <c r="X721" i="1" s="1"/>
  <c r="W722" i="1"/>
  <c r="X722" i="1" s="1"/>
  <c r="W723" i="1"/>
  <c r="X723" i="1" s="1"/>
  <c r="W724" i="1"/>
  <c r="X724" i="1" s="1"/>
  <c r="W725" i="1"/>
  <c r="X725" i="1" s="1"/>
  <c r="W726" i="1"/>
  <c r="X726" i="1" s="1"/>
  <c r="W727" i="1"/>
  <c r="X727" i="1" s="1"/>
  <c r="W728" i="1"/>
  <c r="X728" i="1" s="1"/>
  <c r="W729" i="1"/>
  <c r="X729" i="1" s="1"/>
  <c r="W730" i="1"/>
  <c r="X730" i="1" s="1"/>
  <c r="W731" i="1"/>
  <c r="X731" i="1" s="1"/>
  <c r="W732" i="1"/>
  <c r="X732" i="1" s="1"/>
  <c r="W733" i="1"/>
  <c r="X733" i="1" s="1"/>
  <c r="W734" i="1"/>
  <c r="X734" i="1" s="1"/>
  <c r="W735" i="1"/>
  <c r="X735" i="1" s="1"/>
  <c r="W736" i="1"/>
  <c r="X736" i="1" s="1"/>
  <c r="W737" i="1"/>
  <c r="X737" i="1" s="1"/>
  <c r="W738" i="1"/>
  <c r="X738" i="1" s="1"/>
  <c r="W739" i="1"/>
  <c r="X739" i="1" s="1"/>
  <c r="W740" i="1"/>
  <c r="X740" i="1" s="1"/>
  <c r="W741" i="1"/>
  <c r="X741" i="1" s="1"/>
  <c r="W742" i="1"/>
  <c r="X742" i="1" s="1"/>
  <c r="W743" i="1"/>
  <c r="X743" i="1" s="1"/>
  <c r="W744" i="1"/>
  <c r="X744" i="1" s="1"/>
  <c r="W745" i="1"/>
  <c r="X745" i="1" s="1"/>
  <c r="W746" i="1"/>
  <c r="X746" i="1" s="1"/>
  <c r="W747" i="1"/>
  <c r="X747" i="1" s="1"/>
  <c r="W748" i="1"/>
  <c r="X748" i="1" s="1"/>
  <c r="W749" i="1"/>
  <c r="X749" i="1" s="1"/>
  <c r="W750" i="1"/>
  <c r="X750" i="1" s="1"/>
  <c r="W751" i="1"/>
  <c r="X751" i="1" s="1"/>
  <c r="W752" i="1"/>
  <c r="X752" i="1" s="1"/>
  <c r="W753" i="1"/>
  <c r="X753" i="1" s="1"/>
  <c r="W754" i="1"/>
  <c r="X754" i="1" s="1"/>
  <c r="W755" i="1"/>
  <c r="X755" i="1" s="1"/>
  <c r="W756" i="1"/>
  <c r="X756" i="1" s="1"/>
  <c r="W757" i="1"/>
  <c r="X757" i="1" s="1"/>
  <c r="W758" i="1"/>
  <c r="X758" i="1" s="1"/>
  <c r="W759" i="1"/>
  <c r="X759" i="1" s="1"/>
  <c r="W760" i="1"/>
  <c r="X760" i="1" s="1"/>
  <c r="W761" i="1"/>
  <c r="X761" i="1" s="1"/>
  <c r="W762" i="1"/>
  <c r="X762" i="1" s="1"/>
  <c r="W763" i="1"/>
  <c r="X763" i="1" s="1"/>
  <c r="W764" i="1"/>
  <c r="X764" i="1" s="1"/>
  <c r="W765" i="1"/>
  <c r="X765" i="1" s="1"/>
  <c r="W766" i="1"/>
  <c r="X766" i="1" s="1"/>
  <c r="W767" i="1"/>
  <c r="X767" i="1" s="1"/>
  <c r="W768" i="1"/>
  <c r="X768" i="1" s="1"/>
  <c r="W769" i="1"/>
  <c r="X769" i="1" s="1"/>
  <c r="W770" i="1"/>
  <c r="X770" i="1" s="1"/>
  <c r="W771" i="1"/>
  <c r="X771" i="1" s="1"/>
  <c r="W772" i="1"/>
  <c r="X772" i="1" s="1"/>
  <c r="W773" i="1"/>
  <c r="X773" i="1" s="1"/>
  <c r="W774" i="1"/>
  <c r="X774" i="1" s="1"/>
  <c r="W775" i="1"/>
  <c r="X775" i="1" s="1"/>
  <c r="W776" i="1"/>
  <c r="X776" i="1" s="1"/>
  <c r="W777" i="1"/>
  <c r="X777" i="1" s="1"/>
  <c r="W778" i="1"/>
  <c r="X778" i="1" s="1"/>
  <c r="W779" i="1"/>
  <c r="X779" i="1" s="1"/>
  <c r="W780" i="1"/>
  <c r="X780" i="1" s="1"/>
  <c r="W781" i="1"/>
  <c r="X781" i="1" s="1"/>
  <c r="W782" i="1"/>
  <c r="X782" i="1" s="1"/>
  <c r="W783" i="1"/>
  <c r="X783" i="1" s="1"/>
  <c r="W784" i="1"/>
  <c r="X784" i="1" s="1"/>
  <c r="W785" i="1"/>
  <c r="X785" i="1" s="1"/>
  <c r="W786" i="1"/>
  <c r="X786" i="1" s="1"/>
  <c r="W787" i="1"/>
  <c r="X787" i="1" s="1"/>
  <c r="W788" i="1"/>
  <c r="X788" i="1" s="1"/>
  <c r="W789" i="1"/>
  <c r="X789" i="1" s="1"/>
  <c r="W790" i="1"/>
  <c r="X790" i="1" s="1"/>
  <c r="W791" i="1"/>
  <c r="X791" i="1" s="1"/>
  <c r="W792" i="1"/>
  <c r="X792" i="1" s="1"/>
  <c r="W793" i="1"/>
  <c r="X793" i="1" s="1"/>
  <c r="W794" i="1"/>
  <c r="X794" i="1" s="1"/>
  <c r="W795" i="1"/>
  <c r="X795" i="1" s="1"/>
  <c r="W796" i="1"/>
  <c r="X796" i="1" s="1"/>
  <c r="W797" i="1"/>
  <c r="X797" i="1" s="1"/>
  <c r="W798" i="1"/>
  <c r="X798" i="1" s="1"/>
  <c r="W799" i="1"/>
  <c r="X799" i="1" s="1"/>
  <c r="W800" i="1"/>
  <c r="X800" i="1" s="1"/>
  <c r="I62" i="3" l="1"/>
  <c r="M57" i="3" s="1"/>
  <c r="H62" i="3"/>
  <c r="M54" i="3"/>
  <c r="I61" i="3"/>
  <c r="H61" i="3"/>
  <c r="I60" i="3"/>
  <c r="H60" i="3"/>
  <c r="I59" i="3"/>
  <c r="H59" i="3"/>
  <c r="I58" i="3"/>
  <c r="H58" i="3"/>
  <c r="I57" i="3"/>
  <c r="H57" i="3"/>
  <c r="I56" i="3"/>
  <c r="H56" i="3"/>
  <c r="I55" i="3"/>
  <c r="H55" i="3"/>
  <c r="I54" i="3"/>
  <c r="H54" i="3"/>
  <c r="I53" i="3"/>
  <c r="H53" i="3"/>
  <c r="I52" i="3"/>
  <c r="H52" i="3"/>
  <c r="I51" i="3"/>
  <c r="H51" i="3"/>
  <c r="I50" i="3"/>
  <c r="H50" i="3"/>
  <c r="I49" i="3"/>
  <c r="H49" i="3"/>
  <c r="I48" i="3"/>
  <c r="H48" i="3"/>
  <c r="I47" i="3"/>
  <c r="H47" i="3"/>
  <c r="P42" i="3"/>
  <c r="M56" i="3" s="1"/>
  <c r="L42" i="3"/>
  <c r="L49" i="3" s="1"/>
  <c r="N49" i="3" s="1"/>
  <c r="K42" i="3"/>
  <c r="L48" i="3" s="1"/>
  <c r="N48" i="3" s="1"/>
  <c r="J42" i="3"/>
  <c r="L47" i="3" s="1"/>
  <c r="N47" i="3" s="1"/>
  <c r="I42" i="3"/>
  <c r="M55" i="3" s="1"/>
  <c r="G42" i="3"/>
  <c r="F42" i="3"/>
  <c r="M40" i="3"/>
  <c r="M39" i="3"/>
  <c r="M38" i="3"/>
  <c r="M37" i="3"/>
  <c r="M36" i="3"/>
  <c r="M35" i="3"/>
  <c r="M34" i="3"/>
  <c r="M33" i="3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59" i="3" l="1"/>
  <c r="M50" i="3" s="1"/>
  <c r="G3" i="3"/>
  <c r="M3" i="3"/>
  <c r="M58" i="3"/>
  <c r="L50" i="3" s="1"/>
  <c r="J3" i="3"/>
  <c r="M60" i="3" l="1"/>
  <c r="N50" i="3"/>
  <c r="Y596" i="1"/>
  <c r="Y620" i="1"/>
  <c r="Y297" i="1"/>
  <c r="Y426" i="1"/>
  <c r="Y275" i="1"/>
  <c r="Y657" i="1"/>
  <c r="Y672" i="1"/>
  <c r="Y695" i="1"/>
  <c r="Y108" i="1"/>
  <c r="Y502" i="1"/>
  <c r="Y421" i="1"/>
  <c r="Y711" i="1"/>
  <c r="Y701" i="1"/>
  <c r="Y206" i="1"/>
  <c r="Y638" i="1"/>
  <c r="Y558" i="1"/>
  <c r="Y655" i="1"/>
  <c r="Y143" i="1"/>
  <c r="Y761" i="1"/>
  <c r="Y799" i="1"/>
  <c r="Y636" i="1"/>
  <c r="Y766" i="1"/>
  <c r="Y732" i="1"/>
  <c r="Y739" i="1"/>
  <c r="Y430" i="1"/>
  <c r="Y603" i="1"/>
  <c r="Y698" i="1"/>
  <c r="Y455" i="1"/>
  <c r="Y103" i="1"/>
  <c r="Y226" i="1"/>
  <c r="Y427" i="1"/>
  <c r="Y593" i="1"/>
  <c r="Y598" i="1"/>
  <c r="Y664" i="1"/>
  <c r="Y231" i="1"/>
  <c r="Y58" i="1"/>
  <c r="Y76" i="1"/>
  <c r="Y392" i="1"/>
  <c r="Y307" i="1"/>
  <c r="Y475" i="1"/>
  <c r="Y80" i="1"/>
  <c r="Y647" i="1"/>
  <c r="Y219" i="1"/>
  <c r="Y776" i="1"/>
  <c r="Y171" i="1"/>
  <c r="Y167" i="1"/>
  <c r="Y173" i="1"/>
  <c r="Y505" i="1"/>
  <c r="Y8" i="1"/>
  <c r="Y175" i="1"/>
  <c r="Y692" i="1"/>
  <c r="Y653" i="1"/>
  <c r="Y131" i="1"/>
  <c r="Y433" i="1"/>
  <c r="Y649" i="1"/>
  <c r="Y382" i="1"/>
  <c r="Y79" i="1"/>
  <c r="Y516" i="1"/>
  <c r="Y637" i="1"/>
  <c r="Y44" i="1"/>
  <c r="Y706" i="1"/>
  <c r="Y255" i="1"/>
  <c r="Y584" i="1"/>
  <c r="Y251" i="1"/>
  <c r="Y390" i="1"/>
  <c r="Y208" i="1"/>
  <c r="Y158" i="1"/>
  <c r="Y506" i="1"/>
  <c r="Y432" i="1"/>
  <c r="Y702" i="1"/>
  <c r="Y380" i="1"/>
  <c r="Y236" i="1"/>
  <c r="Y185" i="1"/>
  <c r="Y265" i="1"/>
  <c r="Y377" i="1"/>
  <c r="Y164" i="1"/>
  <c r="Y229" i="1"/>
  <c r="Y24" i="1"/>
  <c r="Y468" i="1"/>
  <c r="Y542" i="1"/>
  <c r="Y618" i="1"/>
  <c r="Y287" i="1"/>
  <c r="Y703" i="1"/>
  <c r="Y478" i="1"/>
  <c r="Y442" i="1"/>
  <c r="Y65" i="1"/>
  <c r="Y583" i="1"/>
  <c r="Y568" i="1"/>
  <c r="Y448" i="1"/>
  <c r="Y684" i="1"/>
  <c r="Y431" i="1"/>
  <c r="Y69" i="1"/>
  <c r="Y361" i="1"/>
  <c r="Y296" i="1"/>
  <c r="Y619" i="1"/>
  <c r="Y117" i="1"/>
  <c r="Y322" i="1"/>
  <c r="Y159" i="1"/>
  <c r="Y554" i="1"/>
  <c r="Y274" i="1"/>
  <c r="Y341" i="1"/>
  <c r="Y632" i="1"/>
  <c r="Y300" i="1"/>
  <c r="Y23" i="1"/>
  <c r="Y597" i="1"/>
  <c r="Y268" i="1"/>
  <c r="Y617" i="1"/>
  <c r="Y646" i="1"/>
  <c r="Y190" i="1"/>
  <c r="Y7" i="1"/>
  <c r="Y800" i="1"/>
  <c r="Y129" i="1"/>
  <c r="Y133" i="1"/>
  <c r="Y744" i="1"/>
  <c r="Y349" i="1"/>
  <c r="Y2" i="1"/>
  <c r="Y66" i="1"/>
  <c r="Y151" i="1"/>
  <c r="Y579" i="1"/>
  <c r="Y586" i="1"/>
  <c r="Y562" i="1"/>
  <c r="Y716" i="1"/>
  <c r="Y590" i="1"/>
  <c r="Y458" i="1"/>
  <c r="Y524" i="1"/>
  <c r="Y114" i="1"/>
  <c r="Y262" i="1"/>
  <c r="Y84" i="1"/>
  <c r="Y188" i="1"/>
  <c r="Y254" i="1"/>
  <c r="Y407" i="1"/>
  <c r="Y160" i="1"/>
  <c r="Y569" i="1"/>
  <c r="Y348" i="1"/>
  <c r="Y237" i="1"/>
  <c r="Y266" i="1"/>
  <c r="Y473" i="1"/>
  <c r="Y249" i="1"/>
  <c r="Y278" i="1"/>
  <c r="Y441" i="1"/>
  <c r="Y771" i="1"/>
  <c r="Y180" i="1"/>
  <c r="Y351" i="1"/>
  <c r="Y169" i="1"/>
  <c r="Y789" i="1"/>
  <c r="Y436" i="1"/>
  <c r="Y280" i="1"/>
  <c r="Y142" i="1"/>
  <c r="Y10" i="1"/>
  <c r="Y301" i="1"/>
  <c r="Y790" i="1"/>
  <c r="Y256" i="1"/>
  <c r="Y73" i="1"/>
  <c r="Y82" i="1"/>
  <c r="Y30" i="1"/>
  <c r="Y512" i="1"/>
  <c r="Y565" i="1"/>
  <c r="Y449" i="1"/>
  <c r="Y477" i="1"/>
  <c r="Y567" i="1"/>
  <c r="Y99" i="1"/>
  <c r="Y633" i="1"/>
  <c r="Y326" i="1"/>
  <c r="Y428" i="1"/>
  <c r="Y624" i="1"/>
  <c r="Y651" i="1"/>
  <c r="Y273" i="1"/>
  <c r="Y201" i="1"/>
  <c r="Y754" i="1"/>
  <c r="Y700" i="1"/>
  <c r="Y438" i="1"/>
  <c r="Y601" i="1"/>
  <c r="Y533" i="1"/>
  <c r="Y424" i="1"/>
  <c r="Y220" i="1"/>
  <c r="Y269" i="1"/>
  <c r="Y35" i="1"/>
  <c r="Y178" i="1"/>
  <c r="Y244" i="1"/>
  <c r="Y416" i="1"/>
  <c r="Y640" i="1"/>
  <c r="Y247" i="1"/>
  <c r="Y708" i="1"/>
  <c r="Y791" i="1"/>
  <c r="Y526" i="1"/>
  <c r="Y795" i="1"/>
  <c r="Y232" i="1"/>
  <c r="Y457" i="1"/>
  <c r="Y685" i="1"/>
  <c r="Y243" i="1"/>
  <c r="Y318" i="1"/>
  <c r="Y412" i="1"/>
  <c r="Y346" i="1"/>
  <c r="Y509" i="1"/>
  <c r="Y400" i="1"/>
  <c r="Y183" i="1"/>
  <c r="Y549" i="1"/>
  <c r="Y153" i="1"/>
  <c r="Y463" i="1"/>
  <c r="Y780" i="1"/>
  <c r="Y366" i="1"/>
  <c r="Y375" i="1"/>
  <c r="Y787" i="1"/>
  <c r="Y520" i="1"/>
  <c r="Y641" i="1"/>
  <c r="Y497" i="1"/>
  <c r="Y205" i="1"/>
  <c r="Y758" i="1"/>
  <c r="Y49" i="1"/>
  <c r="Y691" i="1"/>
  <c r="Y338" i="1"/>
  <c r="Y260" i="1"/>
  <c r="Y453" i="1"/>
  <c r="Y572" i="1"/>
  <c r="Y395" i="1"/>
  <c r="Y310" i="1"/>
  <c r="Y136" i="1"/>
  <c r="Y484" i="1"/>
  <c r="Y705" i="1"/>
  <c r="Y612" i="1"/>
  <c r="Y628" i="1"/>
  <c r="Y111" i="1"/>
  <c r="Y615" i="1"/>
  <c r="Y145" i="1"/>
  <c r="Y166" i="1"/>
  <c r="Y725" i="1"/>
  <c r="Y752" i="1"/>
  <c r="Y794" i="1"/>
  <c r="Y56" i="1"/>
  <c r="Y501" i="1"/>
  <c r="Y12" i="1"/>
  <c r="Y379" i="1"/>
  <c r="Y680" i="1"/>
  <c r="Y308" i="1"/>
  <c r="Y234" i="1"/>
  <c r="Y344" i="1"/>
  <c r="Y347" i="1"/>
  <c r="Y113" i="1"/>
  <c r="Y257" i="1"/>
  <c r="Y311" i="1"/>
  <c r="Y419" i="1"/>
  <c r="Y186" i="1"/>
  <c r="Y6" i="1"/>
  <c r="Y471" i="1"/>
  <c r="Y174" i="1"/>
  <c r="Y124" i="1"/>
  <c r="Y334" i="1"/>
  <c r="Y328" i="1"/>
  <c r="Y312" i="1"/>
  <c r="Y462" i="1"/>
  <c r="Y317" i="1"/>
  <c r="Y735" i="1"/>
  <c r="Y314" i="1"/>
  <c r="Y36" i="1"/>
  <c r="Y359" i="1"/>
  <c r="Y225" i="1"/>
  <c r="Y350" i="1"/>
  <c r="Y682" i="1"/>
  <c r="Y493" i="1"/>
  <c r="Y656" i="1"/>
  <c r="Y134" i="1"/>
  <c r="Y94" i="1"/>
  <c r="Y550" i="1"/>
  <c r="Y525" i="1"/>
  <c r="Y154" i="1"/>
  <c r="Y321" i="1"/>
  <c r="Y277" i="1"/>
  <c r="Y75" i="1"/>
  <c r="Y688" i="1"/>
  <c r="Y135" i="1"/>
  <c r="Y784" i="1"/>
  <c r="Y161" i="1"/>
  <c r="Y57" i="1"/>
  <c r="Y591" i="1"/>
  <c r="Y783" i="1"/>
  <c r="Y125" i="1"/>
  <c r="Y460" i="1"/>
  <c r="Y67" i="1"/>
  <c r="Y775" i="1"/>
  <c r="Y563" i="1"/>
  <c r="Y665" i="1"/>
  <c r="Y194" i="1"/>
  <c r="Y235" i="1"/>
  <c r="Y535" i="1"/>
  <c r="Y547" i="1"/>
  <c r="Y387" i="1"/>
  <c r="Y34" i="1"/>
  <c r="Y454" i="1"/>
  <c r="Y726" i="1"/>
  <c r="Y650" i="1"/>
  <c r="Y38" i="1"/>
  <c r="Y634" i="1"/>
  <c r="Y211" i="1"/>
  <c r="Y452" i="1"/>
  <c r="Y486" i="1"/>
  <c r="Y370" i="1"/>
  <c r="Y659" i="1"/>
  <c r="Y263" i="1"/>
  <c r="Y690" i="1"/>
  <c r="Y371" i="1"/>
  <c r="Y107" i="1"/>
  <c r="Y519" i="1"/>
  <c r="Y355" i="1"/>
  <c r="Y600" i="1"/>
  <c r="Y284" i="1"/>
  <c r="Y606" i="1"/>
  <c r="Y625" i="1"/>
  <c r="Y212" i="1"/>
  <c r="Y37" i="1"/>
  <c r="Y119" i="1"/>
  <c r="Y548" i="1"/>
  <c r="Y728" i="1"/>
  <c r="Y760" i="1"/>
  <c r="Y19" i="1"/>
  <c r="Y555" i="1"/>
  <c r="Y749" i="1"/>
  <c r="Y757" i="1"/>
  <c r="Y239" i="1"/>
  <c r="Y614" i="1"/>
  <c r="Y146" i="1"/>
  <c r="Y402" i="1"/>
  <c r="Y90" i="1"/>
  <c r="Y285" i="1"/>
  <c r="Y723" i="1"/>
  <c r="Y537" i="1"/>
  <c r="Y198" i="1"/>
  <c r="Y667" i="1"/>
  <c r="Y270" i="1"/>
  <c r="Y514" i="1"/>
  <c r="Y148" i="1"/>
  <c r="Y193" i="1"/>
  <c r="Y523" i="1"/>
  <c r="Y165" i="1"/>
  <c r="Y373" i="1"/>
  <c r="Y748" i="1"/>
  <c r="Y352" i="1"/>
  <c r="Y28" i="1"/>
  <c r="Y405" i="1"/>
  <c r="Y545" i="1"/>
  <c r="Y150" i="1"/>
  <c r="Y109" i="1"/>
  <c r="Y120" i="1"/>
  <c r="Y510" i="1"/>
  <c r="Y43" i="1"/>
  <c r="Y246" i="1"/>
  <c r="Y128" i="1"/>
  <c r="Y93" i="1"/>
  <c r="Y92" i="1"/>
  <c r="Y216" i="1"/>
  <c r="Y724" i="1"/>
  <c r="Y528" i="1"/>
  <c r="Y368" i="1"/>
  <c r="Y792" i="1"/>
  <c r="Y676" i="1"/>
  <c r="Y482" i="1"/>
  <c r="Y40" i="1"/>
  <c r="Y747" i="1"/>
  <c r="Y335" i="1"/>
  <c r="Y118" i="1"/>
  <c r="Y464" i="1"/>
  <c r="Y340" i="1"/>
  <c r="Y110" i="1"/>
  <c r="Y788" i="1"/>
  <c r="Y577" i="1"/>
  <c r="Y768" i="1"/>
  <c r="Y74" i="1"/>
  <c r="Y607" i="1"/>
  <c r="Y648" i="1"/>
  <c r="Y608" i="1"/>
  <c r="Y750" i="1"/>
  <c r="Y374" i="1"/>
  <c r="Y686" i="1"/>
  <c r="Y224" i="1"/>
  <c r="Y369" i="1"/>
  <c r="Y543" i="1"/>
  <c r="Y645" i="1"/>
  <c r="Y511" i="1"/>
  <c r="Y192" i="1"/>
  <c r="Y654" i="1"/>
  <c r="Y561" i="1"/>
  <c r="Y722" i="1"/>
  <c r="Y444" i="1"/>
  <c r="Y709" i="1"/>
  <c r="Y353" i="1"/>
  <c r="Y336" i="1"/>
  <c r="Y719" i="1"/>
  <c r="Y540" i="1"/>
  <c r="Y141" i="1"/>
  <c r="Y470" i="1"/>
  <c r="Y798" i="1"/>
  <c r="Y539" i="1"/>
  <c r="Y29" i="1"/>
  <c r="Y315" i="1"/>
  <c r="Y116" i="1"/>
  <c r="Y668" i="1"/>
  <c r="Y544" i="1"/>
  <c r="Y172" i="1"/>
  <c r="Y599" i="1"/>
  <c r="Y177" i="1"/>
  <c r="Y687" i="1"/>
  <c r="Y4" i="1"/>
  <c r="Y59" i="1"/>
  <c r="Y718" i="1"/>
  <c r="Y50" i="1"/>
  <c r="Y582" i="1"/>
  <c r="Y557" i="1"/>
  <c r="Y507" i="1"/>
  <c r="Y489" i="1"/>
  <c r="Y756" i="1"/>
  <c r="Y499" i="1"/>
  <c r="Y425" i="1"/>
  <c r="Y267" i="1"/>
  <c r="Y292" i="1"/>
  <c r="Y64" i="1"/>
  <c r="Y517" i="1"/>
  <c r="Y47" i="1"/>
  <c r="Y230" i="1"/>
  <c r="Y439" i="1"/>
  <c r="Y434" i="1"/>
  <c r="Y666" i="1"/>
  <c r="Y152" i="1"/>
  <c r="Y485" i="1"/>
  <c r="Y385" i="1"/>
  <c r="Y446" i="1"/>
  <c r="Y420" i="1"/>
  <c r="Y755" i="1"/>
  <c r="Y168" i="1"/>
  <c r="Y45" i="1"/>
  <c r="Y445" i="1"/>
  <c r="Y588" i="1"/>
  <c r="Y21" i="1"/>
  <c r="Y480" i="1"/>
  <c r="Y399" i="1"/>
  <c r="Y714" i="1"/>
  <c r="Y176" i="1"/>
  <c r="Y773" i="1"/>
  <c r="Y764" i="1"/>
  <c r="Y403" i="1"/>
  <c r="Y613" i="1"/>
  <c r="Y741" i="1"/>
  <c r="Y652" i="1"/>
  <c r="Y384" i="1"/>
  <c r="Y331" i="1"/>
  <c r="Y581" i="1"/>
  <c r="Y777" i="1"/>
  <c r="Y31" i="1"/>
  <c r="Y576" i="1"/>
  <c r="Y720" i="1"/>
  <c r="Y200" i="1"/>
  <c r="Y491" i="1"/>
  <c r="Y291" i="1"/>
  <c r="Y55" i="1"/>
  <c r="Y3" i="1"/>
  <c r="Y522" i="1"/>
  <c r="Y487" i="1"/>
  <c r="Y295" i="1"/>
  <c r="Y411" i="1"/>
  <c r="Y623" i="1"/>
  <c r="Y393" i="1"/>
  <c r="Y683" i="1"/>
  <c r="Y513" i="1"/>
  <c r="Y282" i="1"/>
  <c r="Y699" i="1"/>
  <c r="Y556" i="1"/>
  <c r="Y481" i="1"/>
  <c r="Y343" i="1"/>
  <c r="Y643" i="1"/>
  <c r="Y401" i="1"/>
  <c r="Y589" i="1"/>
  <c r="Y332" i="1"/>
  <c r="Y298" i="1"/>
  <c r="Y602" i="1"/>
  <c r="Y389" i="1"/>
  <c r="Y671" i="1"/>
  <c r="Y508" i="1"/>
  <c r="Y242" i="1"/>
  <c r="Y504" i="1"/>
  <c r="Y675" i="1"/>
  <c r="Y476" i="1"/>
  <c r="Y797" i="1"/>
  <c r="Y451" i="1"/>
  <c r="Y330" i="1"/>
  <c r="Y48" i="1"/>
  <c r="Y16" i="1"/>
  <c r="Y626" i="1"/>
  <c r="Y566" i="1"/>
  <c r="Y187" i="1"/>
  <c r="Y139" i="1"/>
  <c r="Y204" i="1"/>
  <c r="Y104" i="1"/>
  <c r="Y279" i="1"/>
  <c r="Y492" i="1"/>
  <c r="Y32" i="1"/>
  <c r="Y339" i="1"/>
  <c r="Y585" i="1"/>
  <c r="Y767" i="1"/>
  <c r="Y488" i="1"/>
  <c r="Y132" i="1"/>
  <c r="Y531" i="1"/>
  <c r="Y87" i="1"/>
  <c r="Y759" i="1"/>
  <c r="Y746" i="1"/>
  <c r="Y77" i="1"/>
  <c r="Y727" i="1"/>
  <c r="Y662" i="1"/>
  <c r="Y663" i="1"/>
  <c r="Y305" i="1"/>
  <c r="Y112" i="1"/>
  <c r="Y364" i="1"/>
  <c r="Y437" i="1"/>
  <c r="Y316" i="1"/>
  <c r="Y409" i="1"/>
  <c r="Y707" i="1"/>
  <c r="Y785" i="1"/>
  <c r="Y53" i="1"/>
  <c r="Y580" i="1"/>
  <c r="Y25" i="1"/>
  <c r="Y417" i="1"/>
  <c r="Y337" i="1"/>
  <c r="Y461" i="1"/>
  <c r="Y313" i="1"/>
  <c r="Y521" i="1"/>
  <c r="Y363" i="1"/>
  <c r="Y71" i="1"/>
  <c r="Y218" i="1"/>
  <c r="Y456" i="1"/>
  <c r="Y742" i="1"/>
  <c r="Y102" i="1"/>
  <c r="Y22" i="1"/>
  <c r="Y500" i="1"/>
  <c r="Y515" i="1"/>
  <c r="Y694" i="1"/>
  <c r="Y96" i="1"/>
  <c r="Y774" i="1"/>
  <c r="Y137" i="1"/>
  <c r="Y503" i="1"/>
  <c r="Y418" i="1"/>
  <c r="Y738" i="1"/>
  <c r="Y354" i="1"/>
  <c r="Y394" i="1"/>
  <c r="Y100" i="1"/>
  <c r="Y163" i="1"/>
  <c r="Y207" i="1"/>
  <c r="Y404" i="1"/>
  <c r="Y5" i="1"/>
  <c r="Y677" i="1"/>
  <c r="Y440" i="1"/>
  <c r="Y72" i="1"/>
  <c r="Y772" i="1"/>
  <c r="Y642" i="1"/>
  <c r="Y61" i="1"/>
  <c r="Y697" i="1"/>
  <c r="Y611" i="1"/>
  <c r="Y62" i="1"/>
  <c r="Y574" i="1"/>
  <c r="Y306" i="1"/>
  <c r="Y60" i="1"/>
  <c r="Y191" i="1"/>
  <c r="Y670" i="1"/>
  <c r="Y465" i="1"/>
  <c r="Y721" i="1"/>
  <c r="Y575" i="1"/>
  <c r="Y83" i="1"/>
  <c r="Y54" i="1"/>
  <c r="Y272" i="1"/>
  <c r="Y157" i="1"/>
  <c r="Y621" i="1"/>
  <c r="Y560" i="1"/>
  <c r="Y639" i="1"/>
  <c r="Y578" i="1"/>
  <c r="Y289" i="1"/>
  <c r="Y553" i="1"/>
  <c r="Y68" i="1"/>
  <c r="Y781" i="1"/>
  <c r="Y629" i="1"/>
  <c r="Y91" i="1"/>
  <c r="Y357" i="1"/>
  <c r="Y233" i="1"/>
  <c r="Y288" i="1"/>
  <c r="Y88" i="1"/>
  <c r="Y123" i="1"/>
  <c r="Y779" i="1"/>
  <c r="Y202" i="1"/>
  <c r="Y610" i="1"/>
  <c r="Y14" i="1"/>
  <c r="Y320" i="1"/>
  <c r="Y26" i="1"/>
  <c r="Y410" i="1"/>
  <c r="Y381" i="1"/>
  <c r="Y529" i="1"/>
  <c r="Y733" i="1"/>
  <c r="Y105" i="1"/>
  <c r="Y97" i="1"/>
  <c r="Y221" i="1"/>
  <c r="Y551" i="1"/>
  <c r="Y250" i="1"/>
  <c r="Y199" i="1"/>
  <c r="Y730" i="1"/>
  <c r="Y530" i="1"/>
  <c r="Y283" i="1"/>
  <c r="Y138" i="1"/>
  <c r="Y98" i="1"/>
  <c r="Y406" i="1"/>
  <c r="Y786" i="1"/>
  <c r="Y18" i="1"/>
  <c r="Y222" i="1"/>
  <c r="Y127" i="1"/>
  <c r="Y778" i="1"/>
  <c r="Y472" i="1"/>
  <c r="Y41" i="1"/>
  <c r="Y345" i="1"/>
  <c r="Y538" i="1"/>
  <c r="Y713" i="1"/>
  <c r="Y329" i="1"/>
  <c r="Y459" i="1"/>
  <c r="Y95" i="1"/>
  <c r="Y635" i="1"/>
  <c r="Y413" i="1"/>
  <c r="Y33" i="1"/>
  <c r="Y101" i="1"/>
  <c r="Y140" i="1"/>
  <c r="Y147" i="1"/>
  <c r="Y203" i="1"/>
  <c r="Y710" i="1"/>
  <c r="Y673" i="1"/>
  <c r="Y39" i="1"/>
  <c r="Y85" i="1"/>
  <c r="Y70" i="1"/>
  <c r="Y281" i="1"/>
  <c r="Y228" i="1"/>
  <c r="Y271" i="1"/>
  <c r="Y181" i="1"/>
  <c r="Y9" i="1"/>
  <c r="Y261" i="1"/>
  <c r="Y573" i="1"/>
  <c r="Y592" i="1"/>
  <c r="Y376" i="1"/>
  <c r="Y213" i="1"/>
  <c r="Y259" i="1"/>
  <c r="Y241" i="1"/>
  <c r="Y184" i="1"/>
  <c r="Y324" i="1"/>
  <c r="Y15" i="1"/>
  <c r="Y383" i="1"/>
  <c r="Y170" i="1"/>
  <c r="Y323" i="1"/>
  <c r="Y240" i="1"/>
  <c r="Y264" i="1"/>
  <c r="Y302" i="1"/>
  <c r="Y309" i="1"/>
  <c r="Y661" i="1"/>
  <c r="Y156" i="1"/>
  <c r="Y447" i="1"/>
  <c r="Y712" i="1"/>
  <c r="Y604" i="1"/>
  <c r="Y342" i="1"/>
  <c r="Y179" i="1"/>
  <c r="Y622" i="1"/>
  <c r="Y155" i="1"/>
  <c r="Y689" i="1"/>
  <c r="Y479" i="1"/>
  <c r="Y518" i="1"/>
  <c r="Y258" i="1"/>
  <c r="Y564" i="1"/>
  <c r="Y365" i="1"/>
  <c r="Y86" i="1"/>
  <c r="Y435" i="1"/>
  <c r="Y372" i="1"/>
  <c r="Y450" i="1"/>
  <c r="Y386" i="1"/>
  <c r="Y20" i="1"/>
  <c r="Y217" i="1"/>
  <c r="Y731" i="1"/>
  <c r="Y195" i="1"/>
  <c r="Y294" i="1"/>
  <c r="Y327" i="1"/>
  <c r="Y17" i="1"/>
  <c r="Y793" i="1"/>
  <c r="Y378" i="1"/>
  <c r="Y429" i="1"/>
  <c r="Y753" i="1"/>
  <c r="Y740" i="1"/>
  <c r="Y396" i="1"/>
  <c r="Y644" i="1"/>
  <c r="Y534" i="1"/>
  <c r="Y51" i="1"/>
  <c r="Y46" i="1"/>
  <c r="Y466" i="1"/>
  <c r="Y734" i="1"/>
  <c r="Y115" i="1"/>
  <c r="Y541" i="1"/>
  <c r="Y162" i="1"/>
  <c r="Y483" i="1"/>
  <c r="Y81" i="1"/>
  <c r="Y415" i="1"/>
  <c r="Y443" i="1"/>
  <c r="Y253" i="1"/>
  <c r="Y144" i="1"/>
  <c r="Y78" i="1"/>
  <c r="Y238" i="1"/>
  <c r="Y209" i="1"/>
  <c r="Y122" i="1"/>
  <c r="Y189" i="1"/>
  <c r="Y765" i="1"/>
  <c r="Y669" i="1"/>
  <c r="Y196" i="1"/>
  <c r="Y358" i="1"/>
  <c r="Y467" i="1"/>
  <c r="Y674" i="1"/>
  <c r="Y223" i="1"/>
  <c r="Y559" i="1"/>
  <c r="Y42" i="1"/>
  <c r="Y763" i="1"/>
  <c r="Y360" i="1"/>
  <c r="Y391" i="1"/>
  <c r="Y696" i="1"/>
  <c r="Y182" i="1"/>
  <c r="Y197" i="1"/>
  <c r="Y495" i="1"/>
  <c r="Y290" i="1"/>
  <c r="Y594" i="1"/>
  <c r="Y494" i="1"/>
  <c r="Y303" i="1"/>
  <c r="Y681" i="1"/>
  <c r="Y422" i="1"/>
  <c r="Y286" i="1"/>
  <c r="Y408" i="1"/>
  <c r="Y715" i="1"/>
  <c r="Y214" i="1"/>
  <c r="Y490" i="1"/>
  <c r="Y595" i="1"/>
  <c r="Y743" i="1"/>
  <c r="Y729" i="1"/>
  <c r="Y63" i="1"/>
  <c r="Y106" i="1"/>
  <c r="Y333" i="1"/>
  <c r="Y769" i="1"/>
  <c r="Y304" i="1"/>
  <c r="Y423" i="1"/>
  <c r="Y693" i="1"/>
  <c r="Y356" i="1"/>
  <c r="Y215" i="1"/>
  <c r="Y546" i="1"/>
  <c r="Y227" i="1"/>
  <c r="Y388" i="1"/>
  <c r="Y13" i="1"/>
  <c r="Y796" i="1"/>
  <c r="Y717" i="1"/>
  <c r="Y658" i="1"/>
  <c r="Y27" i="1"/>
  <c r="Y532" i="1"/>
  <c r="Y89" i="1"/>
  <c r="Y627" i="1"/>
  <c r="Y704" i="1"/>
  <c r="Y210" i="1"/>
  <c r="Y679" i="1"/>
  <c r="Y126" i="1"/>
  <c r="Y299" i="1"/>
  <c r="Y397" i="1"/>
  <c r="Y474" i="1"/>
  <c r="Y782" i="1"/>
  <c r="Y736" i="1"/>
  <c r="Y570" i="1"/>
  <c r="Y536" i="1"/>
  <c r="Y678" i="1"/>
  <c r="Y362" i="1"/>
  <c r="Y469" i="1"/>
  <c r="Y616" i="1"/>
  <c r="Y276" i="1"/>
  <c r="Y398" i="1"/>
  <c r="Y121" i="1"/>
  <c r="Y609" i="1"/>
  <c r="Y631" i="1"/>
  <c r="Y130" i="1"/>
  <c r="Y496" i="1"/>
  <c r="Y770" i="1"/>
  <c r="Y367" i="1"/>
  <c r="Y245" i="1"/>
  <c r="Y762" i="1"/>
  <c r="Y745" i="1"/>
  <c r="Y252" i="1"/>
  <c r="Y293" i="1"/>
  <c r="Y498" i="1"/>
  <c r="Y149" i="1"/>
  <c r="Y325" i="1"/>
  <c r="Y248" i="1"/>
  <c r="Y52" i="1"/>
  <c r="Y552" i="1"/>
  <c r="Y414" i="1"/>
  <c r="Y319" i="1"/>
  <c r="Y571" i="1"/>
  <c r="Y587" i="1"/>
  <c r="Y660" i="1"/>
  <c r="Y11" i="1"/>
  <c r="Y737" i="1"/>
  <c r="Y605" i="1"/>
  <c r="Y751" i="1"/>
  <c r="Y630" i="1"/>
  <c r="Y527" i="1"/>
  <c r="AC527" i="1" l="1"/>
  <c r="AA527" i="1"/>
  <c r="AF527" i="1" s="1"/>
  <c r="Z527" i="1"/>
  <c r="AE527" i="1"/>
  <c r="AB527" i="1"/>
  <c r="AD527" i="1"/>
  <c r="Z630" i="1"/>
  <c r="AE630" i="1"/>
  <c r="AB630" i="1"/>
  <c r="AA630" i="1"/>
  <c r="AF630" i="1" s="1"/>
  <c r="AD630" i="1"/>
  <c r="AC630" i="1"/>
  <c r="AE751" i="1"/>
  <c r="AD751" i="1"/>
  <c r="AB751" i="1"/>
  <c r="AC751" i="1"/>
  <c r="Z751" i="1"/>
  <c r="AA751" i="1"/>
  <c r="AF751" i="1" s="1"/>
  <c r="AE605" i="1"/>
  <c r="AA605" i="1"/>
  <c r="AF605" i="1" s="1"/>
  <c r="AC605" i="1"/>
  <c r="Z605" i="1"/>
  <c r="AB605" i="1"/>
  <c r="AD605" i="1"/>
  <c r="AA737" i="1"/>
  <c r="AF737" i="1" s="1"/>
  <c r="AC737" i="1"/>
  <c r="AE737" i="1"/>
  <c r="AD737" i="1"/>
  <c r="Z737" i="1"/>
  <c r="AB737" i="1"/>
  <c r="AC11" i="1"/>
  <c r="AE11" i="1"/>
  <c r="AB11" i="1"/>
  <c r="AD11" i="1"/>
  <c r="Z11" i="1"/>
  <c r="AA11" i="1"/>
  <c r="AF11" i="1" s="1"/>
  <c r="Z660" i="1"/>
  <c r="AC660" i="1"/>
  <c r="AD660" i="1"/>
  <c r="AA660" i="1"/>
  <c r="AF660" i="1" s="1"/>
  <c r="AB660" i="1"/>
  <c r="AE660" i="1"/>
  <c r="AA587" i="1"/>
  <c r="AF587" i="1" s="1"/>
  <c r="AB587" i="1"/>
  <c r="AD587" i="1"/>
  <c r="Z587" i="1"/>
  <c r="AC587" i="1"/>
  <c r="AE587" i="1"/>
  <c r="AC571" i="1"/>
  <c r="AB571" i="1"/>
  <c r="AD571" i="1"/>
  <c r="AA571" i="1"/>
  <c r="AF571" i="1" s="1"/>
  <c r="Z571" i="1"/>
  <c r="AE571" i="1"/>
  <c r="AB319" i="1"/>
  <c r="AC319" i="1"/>
  <c r="AE319" i="1"/>
  <c r="Z319" i="1"/>
  <c r="AA319" i="1"/>
  <c r="AF319" i="1" s="1"/>
  <c r="AD319" i="1"/>
  <c r="AC414" i="1"/>
  <c r="AE414" i="1"/>
  <c r="AB414" i="1"/>
  <c r="AD414" i="1"/>
  <c r="Z414" i="1"/>
  <c r="AA414" i="1"/>
  <c r="AF414" i="1" s="1"/>
  <c r="Z552" i="1"/>
  <c r="AA552" i="1"/>
  <c r="AF552" i="1" s="1"/>
  <c r="AE552" i="1"/>
  <c r="AC552" i="1"/>
  <c r="AD552" i="1"/>
  <c r="AB552" i="1"/>
  <c r="AD52" i="1"/>
  <c r="AC52" i="1"/>
  <c r="AA52" i="1"/>
  <c r="AF52" i="1" s="1"/>
  <c r="Z52" i="1"/>
  <c r="AB52" i="1"/>
  <c r="AE52" i="1"/>
  <c r="Z248" i="1"/>
  <c r="AE248" i="1"/>
  <c r="AD248" i="1"/>
  <c r="AB248" i="1"/>
  <c r="AC248" i="1"/>
  <c r="AA248" i="1"/>
  <c r="AF248" i="1" s="1"/>
  <c r="Z325" i="1"/>
  <c r="AE325" i="1"/>
  <c r="AD325" i="1"/>
  <c r="AA325" i="1"/>
  <c r="AF325" i="1" s="1"/>
  <c r="AB325" i="1"/>
  <c r="AC325" i="1"/>
  <c r="Z149" i="1"/>
  <c r="AD149" i="1"/>
  <c r="AA149" i="1"/>
  <c r="AF149" i="1" s="1"/>
  <c r="AB149" i="1"/>
  <c r="AE149" i="1"/>
  <c r="AC149" i="1"/>
  <c r="AE498" i="1"/>
  <c r="AD498" i="1"/>
  <c r="AB498" i="1"/>
  <c r="Z498" i="1"/>
  <c r="AC498" i="1"/>
  <c r="AA498" i="1"/>
  <c r="AF498" i="1" s="1"/>
  <c r="AB293" i="1"/>
  <c r="AE293" i="1"/>
  <c r="AD293" i="1"/>
  <c r="AA293" i="1"/>
  <c r="AF293" i="1" s="1"/>
  <c r="AC293" i="1"/>
  <c r="Z293" i="1"/>
  <c r="AB252" i="1"/>
  <c r="AC252" i="1"/>
  <c r="Z252" i="1"/>
  <c r="AD252" i="1"/>
  <c r="AE252" i="1"/>
  <c r="AA252" i="1"/>
  <c r="AF252" i="1" s="1"/>
  <c r="AA745" i="1"/>
  <c r="AF745" i="1" s="1"/>
  <c r="AE745" i="1"/>
  <c r="AD745" i="1"/>
  <c r="AB745" i="1"/>
  <c r="Z745" i="1"/>
  <c r="AC745" i="1"/>
  <c r="AE762" i="1"/>
  <c r="AB762" i="1"/>
  <c r="AA762" i="1"/>
  <c r="AF762" i="1" s="1"/>
  <c r="AC762" i="1"/>
  <c r="AD762" i="1"/>
  <c r="Z762" i="1"/>
  <c r="AA245" i="1"/>
  <c r="AF245" i="1" s="1"/>
  <c r="AC245" i="1"/>
  <c r="AB245" i="1"/>
  <c r="AE245" i="1"/>
  <c r="Z245" i="1"/>
  <c r="AD245" i="1"/>
  <c r="Z367" i="1"/>
  <c r="AC367" i="1"/>
  <c r="AB367" i="1"/>
  <c r="AD770" i="1"/>
  <c r="Z770" i="1"/>
  <c r="AA770" i="1"/>
  <c r="AF770" i="1" s="1"/>
  <c r="AC770" i="1"/>
  <c r="AE770" i="1"/>
  <c r="AB770" i="1"/>
  <c r="AD496" i="1"/>
  <c r="AE496" i="1"/>
  <c r="AB496" i="1"/>
  <c r="AA496" i="1"/>
  <c r="AF496" i="1" s="1"/>
  <c r="AC496" i="1"/>
  <c r="Z496" i="1"/>
  <c r="AA130" i="1"/>
  <c r="AF130" i="1" s="1"/>
  <c r="AB130" i="1"/>
  <c r="AD130" i="1"/>
  <c r="Z130" i="1"/>
  <c r="AC130" i="1"/>
  <c r="AE130" i="1"/>
  <c r="AB631" i="1"/>
  <c r="AA631" i="1"/>
  <c r="AF631" i="1" s="1"/>
  <c r="AD631" i="1"/>
  <c r="Z631" i="1"/>
  <c r="AE631" i="1"/>
  <c r="AC631" i="1"/>
  <c r="AC609" i="1"/>
  <c r="AD609" i="1"/>
  <c r="Z609" i="1"/>
  <c r="AA609" i="1"/>
  <c r="AF609" i="1" s="1"/>
  <c r="AE609" i="1"/>
  <c r="AB609" i="1"/>
  <c r="AC121" i="1"/>
  <c r="Z121" i="1"/>
  <c r="AD121" i="1"/>
  <c r="AE121" i="1"/>
  <c r="AB121" i="1"/>
  <c r="AA121" i="1"/>
  <c r="AF121" i="1" s="1"/>
  <c r="AC398" i="1"/>
  <c r="Z398" i="1"/>
  <c r="AD398" i="1"/>
  <c r="AA398" i="1"/>
  <c r="AF398" i="1" s="1"/>
  <c r="AE398" i="1"/>
  <c r="AB398" i="1"/>
  <c r="AA276" i="1"/>
  <c r="AF276" i="1" s="1"/>
  <c r="AB276" i="1"/>
  <c r="Z276" i="1"/>
  <c r="AD276" i="1"/>
  <c r="AE276" i="1"/>
  <c r="AC276" i="1"/>
  <c r="AB616" i="1"/>
  <c r="AD616" i="1"/>
  <c r="Z616" i="1"/>
  <c r="AA616" i="1"/>
  <c r="AF616" i="1" s="1"/>
  <c r="AE616" i="1"/>
  <c r="AC616" i="1"/>
  <c r="AA469" i="1"/>
  <c r="AF469" i="1" s="1"/>
  <c r="AB469" i="1"/>
  <c r="AE469" i="1"/>
  <c r="AD469" i="1"/>
  <c r="Z469" i="1"/>
  <c r="AC469" i="1"/>
  <c r="AA362" i="1"/>
  <c r="AF362" i="1" s="1"/>
  <c r="Z362" i="1"/>
  <c r="AE362" i="1"/>
  <c r="AB362" i="1"/>
  <c r="AD362" i="1"/>
  <c r="AC362" i="1"/>
  <c r="Z678" i="1"/>
  <c r="AE678" i="1"/>
  <c r="AB678" i="1"/>
  <c r="AA678" i="1"/>
  <c r="AF678" i="1" s="1"/>
  <c r="AD678" i="1"/>
  <c r="AC678" i="1"/>
  <c r="AC536" i="1"/>
  <c r="AD536" i="1"/>
  <c r="Z536" i="1"/>
  <c r="AE536" i="1"/>
  <c r="AB536" i="1"/>
  <c r="AA536" i="1"/>
  <c r="AF536" i="1" s="1"/>
  <c r="AA570" i="1"/>
  <c r="AF570" i="1" s="1"/>
  <c r="AB570" i="1"/>
  <c r="AD570" i="1"/>
  <c r="AE570" i="1"/>
  <c r="AC570" i="1"/>
  <c r="Z570" i="1"/>
  <c r="AD736" i="1"/>
  <c r="AC736" i="1"/>
  <c r="AB736" i="1"/>
  <c r="AE736" i="1"/>
  <c r="AA736" i="1"/>
  <c r="AF736" i="1" s="1"/>
  <c r="Z736" i="1"/>
  <c r="AB782" i="1"/>
  <c r="AA782" i="1"/>
  <c r="AF782" i="1" s="1"/>
  <c r="AD782" i="1"/>
  <c r="Z782" i="1"/>
  <c r="AC782" i="1"/>
  <c r="AE782" i="1"/>
  <c r="AC474" i="1"/>
  <c r="AD474" i="1"/>
  <c r="Z474" i="1"/>
  <c r="AB474" i="1"/>
  <c r="AA474" i="1"/>
  <c r="AF474" i="1" s="1"/>
  <c r="AE474" i="1"/>
  <c r="AB397" i="1"/>
  <c r="AA397" i="1"/>
  <c r="AF397" i="1" s="1"/>
  <c r="AC397" i="1"/>
  <c r="AE397" i="1"/>
  <c r="Z397" i="1"/>
  <c r="AD397" i="1"/>
  <c r="AC299" i="1"/>
  <c r="AA299" i="1"/>
  <c r="AF299" i="1" s="1"/>
  <c r="Z299" i="1"/>
  <c r="AB299" i="1"/>
  <c r="AD299" i="1"/>
  <c r="AE299" i="1"/>
  <c r="AC126" i="1"/>
  <c r="AD126" i="1"/>
  <c r="Z126" i="1"/>
  <c r="AB126" i="1"/>
  <c r="AE126" i="1"/>
  <c r="AA126" i="1"/>
  <c r="AF126" i="1" s="1"/>
  <c r="AA679" i="1"/>
  <c r="AF679" i="1" s="1"/>
  <c r="AD679" i="1"/>
  <c r="AC679" i="1"/>
  <c r="AB679" i="1"/>
  <c r="Z679" i="1"/>
  <c r="AE679" i="1"/>
  <c r="AB210" i="1"/>
  <c r="AC210" i="1"/>
  <c r="AA210" i="1"/>
  <c r="AF210" i="1" s="1"/>
  <c r="AE210" i="1"/>
  <c r="Z210" i="1"/>
  <c r="AD210" i="1"/>
  <c r="AD704" i="1"/>
  <c r="AC704" i="1"/>
  <c r="AB704" i="1"/>
  <c r="AA704" i="1"/>
  <c r="AF704" i="1" s="1"/>
  <c r="AE704" i="1"/>
  <c r="Z704" i="1"/>
  <c r="AD627" i="1"/>
  <c r="AC627" i="1"/>
  <c r="AB627" i="1"/>
  <c r="AA627" i="1"/>
  <c r="AF627" i="1" s="1"/>
  <c r="Z627" i="1"/>
  <c r="AE627" i="1"/>
  <c r="Z89" i="1"/>
  <c r="AB89" i="1"/>
  <c r="AE89" i="1"/>
  <c r="AD89" i="1"/>
  <c r="AA89" i="1"/>
  <c r="AF89" i="1" s="1"/>
  <c r="AC89" i="1"/>
  <c r="Z532" i="1"/>
  <c r="AE532" i="1"/>
  <c r="AC532" i="1"/>
  <c r="AB532" i="1"/>
  <c r="AD532" i="1"/>
  <c r="AA532" i="1"/>
  <c r="AF532" i="1" s="1"/>
  <c r="AC27" i="1"/>
  <c r="Z27" i="1"/>
  <c r="AA27" i="1"/>
  <c r="AF27" i="1" s="1"/>
  <c r="AD27" i="1"/>
  <c r="AB27" i="1"/>
  <c r="AE27" i="1"/>
  <c r="AC658" i="1"/>
  <c r="AD658" i="1"/>
  <c r="AB658" i="1"/>
  <c r="AA658" i="1"/>
  <c r="AF658" i="1" s="1"/>
  <c r="Z658" i="1"/>
  <c r="AE658" i="1"/>
  <c r="AE717" i="1"/>
  <c r="AC717" i="1"/>
  <c r="AA717" i="1"/>
  <c r="AF717" i="1" s="1"/>
  <c r="AB717" i="1"/>
  <c r="AD717" i="1"/>
  <c r="Z717" i="1"/>
  <c r="AA796" i="1"/>
  <c r="AF796" i="1" s="1"/>
  <c r="AB796" i="1"/>
  <c r="AD796" i="1"/>
  <c r="AC796" i="1"/>
  <c r="Z796" i="1"/>
  <c r="AE796" i="1"/>
  <c r="AB13" i="1"/>
  <c r="AA13" i="1"/>
  <c r="AF13" i="1" s="1"/>
  <c r="AC13" i="1"/>
  <c r="Z13" i="1"/>
  <c r="AE13" i="1"/>
  <c r="AD13" i="1"/>
  <c r="Z388" i="1"/>
  <c r="AB388" i="1"/>
  <c r="AC388" i="1"/>
  <c r="AE388" i="1"/>
  <c r="AD388" i="1"/>
  <c r="AA388" i="1"/>
  <c r="AF388" i="1" s="1"/>
  <c r="AD227" i="1"/>
  <c r="Z227" i="1"/>
  <c r="AC227" i="1"/>
  <c r="AE227" i="1"/>
  <c r="AA227" i="1"/>
  <c r="AF227" i="1" s="1"/>
  <c r="AB227" i="1"/>
  <c r="AB546" i="1"/>
  <c r="AC546" i="1"/>
  <c r="AA546" i="1"/>
  <c r="AF546" i="1" s="1"/>
  <c r="AD546" i="1"/>
  <c r="Z546" i="1"/>
  <c r="AE546" i="1"/>
  <c r="Z215" i="1"/>
  <c r="AB215" i="1"/>
  <c r="AA215" i="1"/>
  <c r="AF215" i="1" s="1"/>
  <c r="AE215" i="1"/>
  <c r="AC215" i="1"/>
  <c r="AD215" i="1"/>
  <c r="AE356" i="1"/>
  <c r="Z356" i="1"/>
  <c r="AC356" i="1"/>
  <c r="AA356" i="1"/>
  <c r="AF356" i="1" s="1"/>
  <c r="AB356" i="1"/>
  <c r="AD356" i="1"/>
  <c r="Z693" i="1"/>
  <c r="AC693" i="1"/>
  <c r="AB693" i="1"/>
  <c r="AA693" i="1"/>
  <c r="AF693" i="1" s="1"/>
  <c r="AD693" i="1"/>
  <c r="AE693" i="1"/>
  <c r="Z423" i="1"/>
  <c r="AD423" i="1"/>
  <c r="AE423" i="1"/>
  <c r="AB423" i="1"/>
  <c r="AC423" i="1"/>
  <c r="AA423" i="1"/>
  <c r="AF423" i="1" s="1"/>
  <c r="AE304" i="1"/>
  <c r="AA304" i="1"/>
  <c r="AF304" i="1" s="1"/>
  <c r="AD304" i="1"/>
  <c r="AB304" i="1"/>
  <c r="Z304" i="1"/>
  <c r="AC304" i="1"/>
  <c r="Z769" i="1"/>
  <c r="AC769" i="1"/>
  <c r="AA769" i="1"/>
  <c r="AF769" i="1" s="1"/>
  <c r="AE769" i="1"/>
  <c r="AB769" i="1"/>
  <c r="AD769" i="1"/>
  <c r="AD333" i="1"/>
  <c r="Z333" i="1"/>
  <c r="AE333" i="1"/>
  <c r="AA333" i="1"/>
  <c r="AF333" i="1" s="1"/>
  <c r="AB333" i="1"/>
  <c r="AC333" i="1"/>
  <c r="AB106" i="1"/>
  <c r="AA106" i="1"/>
  <c r="AF106" i="1" s="1"/>
  <c r="AE106" i="1"/>
  <c r="Z106" i="1"/>
  <c r="AC106" i="1"/>
  <c r="AD106" i="1"/>
  <c r="AA63" i="1"/>
  <c r="AF63" i="1" s="1"/>
  <c r="AE63" i="1"/>
  <c r="AB63" i="1"/>
  <c r="AC63" i="1"/>
  <c r="Z63" i="1"/>
  <c r="AD63" i="1"/>
  <c r="AB729" i="1"/>
  <c r="AD729" i="1"/>
  <c r="AA729" i="1"/>
  <c r="AF729" i="1" s="1"/>
  <c r="Z729" i="1"/>
  <c r="AC729" i="1"/>
  <c r="AE729" i="1"/>
  <c r="Z743" i="1"/>
  <c r="AC743" i="1"/>
  <c r="AE743" i="1"/>
  <c r="AD743" i="1"/>
  <c r="AA743" i="1"/>
  <c r="AF743" i="1" s="1"/>
  <c r="AB743" i="1"/>
  <c r="AC595" i="1"/>
  <c r="AE595" i="1"/>
  <c r="AB595" i="1"/>
  <c r="AD595" i="1"/>
  <c r="Z595" i="1"/>
  <c r="AA595" i="1"/>
  <c r="AF595" i="1" s="1"/>
  <c r="AA490" i="1"/>
  <c r="AF490" i="1" s="1"/>
  <c r="AB490" i="1"/>
  <c r="AD490" i="1"/>
  <c r="AE490" i="1"/>
  <c r="AC490" i="1"/>
  <c r="Z490" i="1"/>
  <c r="AE214" i="1"/>
  <c r="AB214" i="1"/>
  <c r="AC214" i="1"/>
  <c r="AA214" i="1"/>
  <c r="AF214" i="1" s="1"/>
  <c r="AD214" i="1"/>
  <c r="Z214" i="1"/>
  <c r="AE715" i="1"/>
  <c r="AC715" i="1"/>
  <c r="AD715" i="1"/>
  <c r="Z715" i="1"/>
  <c r="AA715" i="1"/>
  <c r="AF715" i="1" s="1"/>
  <c r="AB715" i="1"/>
  <c r="AE408" i="1"/>
  <c r="AA408" i="1"/>
  <c r="AF408" i="1" s="1"/>
  <c r="Z408" i="1"/>
  <c r="AC408" i="1"/>
  <c r="AB408" i="1"/>
  <c r="AD408" i="1"/>
  <c r="AA286" i="1"/>
  <c r="AF286" i="1" s="1"/>
  <c r="AB286" i="1"/>
  <c r="Z286" i="1"/>
  <c r="AD286" i="1"/>
  <c r="AC286" i="1"/>
  <c r="AE286" i="1"/>
  <c r="AC422" i="1"/>
  <c r="AE422" i="1"/>
  <c r="AA422" i="1"/>
  <c r="AF422" i="1" s="1"/>
  <c r="AD422" i="1"/>
  <c r="AB422" i="1"/>
  <c r="Z422" i="1"/>
  <c r="AD681" i="1"/>
  <c r="AA681" i="1"/>
  <c r="AF681" i="1" s="1"/>
  <c r="AC681" i="1"/>
  <c r="AE681" i="1"/>
  <c r="AB681" i="1"/>
  <c r="Z681" i="1"/>
  <c r="AD303" i="1"/>
  <c r="AB303" i="1"/>
  <c r="AE303" i="1"/>
  <c r="Z303" i="1"/>
  <c r="AC303" i="1"/>
  <c r="AA303" i="1"/>
  <c r="AF303" i="1" s="1"/>
  <c r="AE494" i="1"/>
  <c r="AC494" i="1"/>
  <c r="AB494" i="1"/>
  <c r="AA494" i="1"/>
  <c r="AF494" i="1" s="1"/>
  <c r="AD494" i="1"/>
  <c r="Z494" i="1"/>
  <c r="Z594" i="1"/>
  <c r="AD594" i="1"/>
  <c r="AB594" i="1"/>
  <c r="AC594" i="1"/>
  <c r="AE594" i="1"/>
  <c r="AA594" i="1"/>
  <c r="AF594" i="1" s="1"/>
  <c r="AE290" i="1"/>
  <c r="AD290" i="1"/>
  <c r="AC290" i="1"/>
  <c r="AA290" i="1"/>
  <c r="AF290" i="1" s="1"/>
  <c r="AB290" i="1"/>
  <c r="Z290" i="1"/>
  <c r="AA495" i="1"/>
  <c r="AF495" i="1" s="1"/>
  <c r="AE495" i="1"/>
  <c r="AC495" i="1"/>
  <c r="Z495" i="1"/>
  <c r="AD495" i="1"/>
  <c r="AB495" i="1"/>
  <c r="AD197" i="1"/>
  <c r="AA197" i="1"/>
  <c r="AF197" i="1" s="1"/>
  <c r="AB197" i="1"/>
  <c r="AC197" i="1"/>
  <c r="Z197" i="1"/>
  <c r="AE197" i="1"/>
  <c r="AC182" i="1"/>
  <c r="AB182" i="1"/>
  <c r="AD182" i="1"/>
  <c r="AA182" i="1"/>
  <c r="AF182" i="1" s="1"/>
  <c r="AE182" i="1"/>
  <c r="Z182" i="1"/>
  <c r="AE696" i="1"/>
  <c r="AB696" i="1"/>
  <c r="AC696" i="1"/>
  <c r="AA696" i="1"/>
  <c r="AF696" i="1" s="1"/>
  <c r="Z696" i="1"/>
  <c r="AD696" i="1"/>
  <c r="Z391" i="1"/>
  <c r="AB391" i="1"/>
  <c r="AE391" i="1"/>
  <c r="AC391" i="1"/>
  <c r="AD391" i="1"/>
  <c r="AA391" i="1"/>
  <c r="AF391" i="1" s="1"/>
  <c r="AA360" i="1"/>
  <c r="AF360" i="1" s="1"/>
  <c r="AB360" i="1"/>
  <c r="Z360" i="1"/>
  <c r="AE360" i="1"/>
  <c r="AD360" i="1"/>
  <c r="AC360" i="1"/>
  <c r="AB763" i="1"/>
  <c r="AD763" i="1"/>
  <c r="Z763" i="1"/>
  <c r="AE763" i="1"/>
  <c r="AA763" i="1"/>
  <c r="AF763" i="1" s="1"/>
  <c r="AC763" i="1"/>
  <c r="AD42" i="1"/>
  <c r="AE42" i="1"/>
  <c r="Z42" i="1"/>
  <c r="AB42" i="1"/>
  <c r="AC42" i="1"/>
  <c r="AA42" i="1"/>
  <c r="AF42" i="1" s="1"/>
  <c r="AA559" i="1"/>
  <c r="AF559" i="1" s="1"/>
  <c r="AC559" i="1"/>
  <c r="AD559" i="1"/>
  <c r="AE559" i="1"/>
  <c r="AB559" i="1"/>
  <c r="Z559" i="1"/>
  <c r="AB223" i="1"/>
  <c r="AA223" i="1"/>
  <c r="AF223" i="1" s="1"/>
  <c r="AE223" i="1"/>
  <c r="Z223" i="1"/>
  <c r="AC223" i="1"/>
  <c r="AD223" i="1"/>
  <c r="AE674" i="1"/>
  <c r="AB674" i="1"/>
  <c r="AC674" i="1"/>
  <c r="AA674" i="1"/>
  <c r="AF674" i="1" s="1"/>
  <c r="Z674" i="1"/>
  <c r="AD674" i="1"/>
  <c r="AB467" i="1"/>
  <c r="AA467" i="1"/>
  <c r="AF467" i="1" s="1"/>
  <c r="AE467" i="1"/>
  <c r="AC467" i="1"/>
  <c r="AD467" i="1"/>
  <c r="Z467" i="1"/>
  <c r="Z358" i="1"/>
  <c r="AD358" i="1"/>
  <c r="AA358" i="1"/>
  <c r="AF358" i="1" s="1"/>
  <c r="AB358" i="1"/>
  <c r="AE358" i="1"/>
  <c r="AC358" i="1"/>
  <c r="AE196" i="1"/>
  <c r="AA196" i="1"/>
  <c r="AF196" i="1" s="1"/>
  <c r="AB196" i="1"/>
  <c r="AD196" i="1"/>
  <c r="Z196" i="1"/>
  <c r="AC196" i="1"/>
  <c r="AE669" i="1"/>
  <c r="Z669" i="1"/>
  <c r="AC669" i="1"/>
  <c r="AB669" i="1"/>
  <c r="AA669" i="1"/>
  <c r="AF669" i="1" s="1"/>
  <c r="AD669" i="1"/>
  <c r="Z765" i="1"/>
  <c r="AD765" i="1"/>
  <c r="AA765" i="1"/>
  <c r="AF765" i="1" s="1"/>
  <c r="AB765" i="1"/>
  <c r="AC765" i="1"/>
  <c r="AE765" i="1"/>
  <c r="AE189" i="1"/>
  <c r="Z189" i="1"/>
  <c r="AB189" i="1"/>
  <c r="AD189" i="1"/>
  <c r="AC189" i="1"/>
  <c r="AA189" i="1"/>
  <c r="AF189" i="1" s="1"/>
  <c r="Z122" i="1"/>
  <c r="AA122" i="1"/>
  <c r="AF122" i="1" s="1"/>
  <c r="AD122" i="1"/>
  <c r="AE122" i="1"/>
  <c r="AC122" i="1"/>
  <c r="AB122" i="1"/>
  <c r="AE209" i="1"/>
  <c r="AC209" i="1"/>
  <c r="AB209" i="1"/>
  <c r="Z209" i="1"/>
  <c r="AA209" i="1"/>
  <c r="AF209" i="1" s="1"/>
  <c r="AD209" i="1"/>
  <c r="AE238" i="1"/>
  <c r="AC238" i="1"/>
  <c r="Z238" i="1"/>
  <c r="AB238" i="1"/>
  <c r="AA238" i="1"/>
  <c r="AF238" i="1" s="1"/>
  <c r="AD238" i="1"/>
  <c r="AD78" i="1"/>
  <c r="AC78" i="1"/>
  <c r="Z78" i="1"/>
  <c r="AE78" i="1"/>
  <c r="AA78" i="1"/>
  <c r="AF78" i="1" s="1"/>
  <c r="AB78" i="1"/>
  <c r="Z144" i="1"/>
  <c r="AA144" i="1"/>
  <c r="AF144" i="1" s="1"/>
  <c r="AD144" i="1"/>
  <c r="AC144" i="1"/>
  <c r="AB144" i="1"/>
  <c r="AE144" i="1"/>
  <c r="AC253" i="1"/>
  <c r="AD253" i="1"/>
  <c r="AE253" i="1"/>
  <c r="AB253" i="1"/>
  <c r="AA253" i="1"/>
  <c r="AF253" i="1" s="1"/>
  <c r="Z253" i="1"/>
  <c r="AB443" i="1"/>
  <c r="AA443" i="1"/>
  <c r="AF443" i="1" s="1"/>
  <c r="Z443" i="1"/>
  <c r="AE443" i="1"/>
  <c r="AC443" i="1"/>
  <c r="AD443" i="1"/>
  <c r="AC415" i="1"/>
  <c r="AD415" i="1"/>
  <c r="AA415" i="1"/>
  <c r="AF415" i="1" s="1"/>
  <c r="AE415" i="1"/>
  <c r="AB415" i="1"/>
  <c r="Z415" i="1"/>
  <c r="Z81" i="1"/>
  <c r="AE81" i="1"/>
  <c r="AD81" i="1"/>
  <c r="AA81" i="1"/>
  <c r="AF81" i="1" s="1"/>
  <c r="AC81" i="1"/>
  <c r="AB81" i="1"/>
  <c r="AC483" i="1"/>
  <c r="Z483" i="1"/>
  <c r="AD483" i="1"/>
  <c r="AB483" i="1"/>
  <c r="AA483" i="1"/>
  <c r="AF483" i="1" s="1"/>
  <c r="AE483" i="1"/>
  <c r="AD162" i="1"/>
  <c r="AB162" i="1"/>
  <c r="AC162" i="1"/>
  <c r="AA162" i="1"/>
  <c r="AF162" i="1" s="1"/>
  <c r="Z162" i="1"/>
  <c r="AE162" i="1"/>
  <c r="Z541" i="1"/>
  <c r="AA541" i="1"/>
  <c r="AF541" i="1" s="1"/>
  <c r="AD541" i="1"/>
  <c r="AE541" i="1"/>
  <c r="AB541" i="1"/>
  <c r="AC541" i="1"/>
  <c r="AB115" i="1"/>
  <c r="Z115" i="1"/>
  <c r="AC115" i="1"/>
  <c r="AE115" i="1"/>
  <c r="AD115" i="1"/>
  <c r="AA115" i="1"/>
  <c r="AF115" i="1" s="1"/>
  <c r="AC734" i="1"/>
  <c r="Z734" i="1"/>
  <c r="AA734" i="1"/>
  <c r="AF734" i="1" s="1"/>
  <c r="AB734" i="1"/>
  <c r="AD734" i="1"/>
  <c r="AE734" i="1"/>
  <c r="AB466" i="1"/>
  <c r="AA466" i="1"/>
  <c r="AF466" i="1" s="1"/>
  <c r="Z466" i="1"/>
  <c r="AD466" i="1"/>
  <c r="AE466" i="1"/>
  <c r="AC466" i="1"/>
  <c r="Z46" i="1"/>
  <c r="AD46" i="1"/>
  <c r="AB46" i="1"/>
  <c r="AC46" i="1"/>
  <c r="AA46" i="1"/>
  <c r="AF46" i="1" s="1"/>
  <c r="AE46" i="1"/>
  <c r="Z51" i="1"/>
  <c r="AA51" i="1"/>
  <c r="AF51" i="1" s="1"/>
  <c r="AB51" i="1"/>
  <c r="AE51" i="1"/>
  <c r="AC51" i="1"/>
  <c r="AD51" i="1"/>
  <c r="AD534" i="1"/>
  <c r="AB534" i="1"/>
  <c r="AE534" i="1"/>
  <c r="AC534" i="1"/>
  <c r="AA534" i="1"/>
  <c r="AF534" i="1" s="1"/>
  <c r="Z534" i="1"/>
  <c r="AD644" i="1"/>
  <c r="AA644" i="1"/>
  <c r="AF644" i="1" s="1"/>
  <c r="AB644" i="1"/>
  <c r="AC644" i="1"/>
  <c r="Z644" i="1"/>
  <c r="AE644" i="1"/>
  <c r="AB396" i="1"/>
  <c r="Z396" i="1"/>
  <c r="AA396" i="1"/>
  <c r="AF396" i="1" s="1"/>
  <c r="AC396" i="1"/>
  <c r="AE396" i="1"/>
  <c r="AD396" i="1"/>
  <c r="AC740" i="1"/>
  <c r="AE740" i="1"/>
  <c r="AB740" i="1"/>
  <c r="AA740" i="1"/>
  <c r="AF740" i="1" s="1"/>
  <c r="Z740" i="1"/>
  <c r="AD740" i="1"/>
  <c r="Z753" i="1"/>
  <c r="AC753" i="1"/>
  <c r="AA753" i="1"/>
  <c r="AF753" i="1" s="1"/>
  <c r="AD753" i="1"/>
  <c r="AB753" i="1"/>
  <c r="AE753" i="1"/>
  <c r="Z429" i="1"/>
  <c r="AE429" i="1"/>
  <c r="AA429" i="1"/>
  <c r="AF429" i="1" s="1"/>
  <c r="AD429" i="1"/>
  <c r="AB429" i="1"/>
  <c r="AC429" i="1"/>
  <c r="AA378" i="1"/>
  <c r="AF378" i="1" s="1"/>
  <c r="AD378" i="1"/>
  <c r="AC378" i="1"/>
  <c r="AE378" i="1"/>
  <c r="AB378" i="1"/>
  <c r="Z378" i="1"/>
  <c r="AE793" i="1"/>
  <c r="Z793" i="1"/>
  <c r="AD793" i="1"/>
  <c r="AC793" i="1"/>
  <c r="AB793" i="1"/>
  <c r="AA793" i="1"/>
  <c r="AF793" i="1" s="1"/>
  <c r="AE17" i="1"/>
  <c r="AA17" i="1"/>
  <c r="AF17" i="1" s="1"/>
  <c r="AB17" i="1"/>
  <c r="AC17" i="1"/>
  <c r="Z17" i="1"/>
  <c r="AD17" i="1"/>
  <c r="Z327" i="1"/>
  <c r="AB327" i="1"/>
  <c r="AE327" i="1"/>
  <c r="AA327" i="1"/>
  <c r="AF327" i="1" s="1"/>
  <c r="AD327" i="1"/>
  <c r="AC327" i="1"/>
  <c r="AC294" i="1"/>
  <c r="AD294" i="1"/>
  <c r="AE294" i="1"/>
  <c r="AB294" i="1"/>
  <c r="AA294" i="1"/>
  <c r="AF294" i="1" s="1"/>
  <c r="Z294" i="1"/>
  <c r="AC195" i="1"/>
  <c r="AE195" i="1"/>
  <c r="AA195" i="1"/>
  <c r="AF195" i="1" s="1"/>
  <c r="Z195" i="1"/>
  <c r="AD195" i="1"/>
  <c r="AB195" i="1"/>
  <c r="AC731" i="1"/>
  <c r="AA731" i="1"/>
  <c r="AF731" i="1" s="1"/>
  <c r="AD731" i="1"/>
  <c r="AB731" i="1"/>
  <c r="AE731" i="1"/>
  <c r="Z731" i="1"/>
  <c r="AB217" i="1"/>
  <c r="AA217" i="1"/>
  <c r="AF217" i="1" s="1"/>
  <c r="AD217" i="1"/>
  <c r="AE217" i="1"/>
  <c r="AC217" i="1"/>
  <c r="Z217" i="1"/>
  <c r="AB20" i="1"/>
  <c r="Z20" i="1"/>
  <c r="AD20" i="1"/>
  <c r="AE20" i="1"/>
  <c r="AC20" i="1"/>
  <c r="AA20" i="1"/>
  <c r="AF20" i="1" s="1"/>
  <c r="AA386" i="1"/>
  <c r="AF386" i="1" s="1"/>
  <c r="AC386" i="1"/>
  <c r="Z386" i="1"/>
  <c r="AE386" i="1"/>
  <c r="AD386" i="1"/>
  <c r="AB386" i="1"/>
  <c r="Z450" i="1"/>
  <c r="AE450" i="1"/>
  <c r="AC450" i="1"/>
  <c r="AD450" i="1"/>
  <c r="AA450" i="1"/>
  <c r="AF450" i="1" s="1"/>
  <c r="AB450" i="1"/>
  <c r="Z372" i="1"/>
  <c r="AB435" i="1"/>
  <c r="Z435" i="1"/>
  <c r="AD435" i="1"/>
  <c r="AC435" i="1"/>
  <c r="AE435" i="1"/>
  <c r="AA435" i="1"/>
  <c r="AF435" i="1" s="1"/>
  <c r="AE86" i="1"/>
  <c r="AC86" i="1"/>
  <c r="AA86" i="1"/>
  <c r="AF86" i="1" s="1"/>
  <c r="Z86" i="1"/>
  <c r="AD86" i="1"/>
  <c r="AB86" i="1"/>
  <c r="AB365" i="1"/>
  <c r="Z365" i="1"/>
  <c r="AC365" i="1"/>
  <c r="AC564" i="1"/>
  <c r="AB564" i="1"/>
  <c r="AD564" i="1"/>
  <c r="AE564" i="1"/>
  <c r="Z564" i="1"/>
  <c r="AA564" i="1"/>
  <c r="AF564" i="1" s="1"/>
  <c r="Z258" i="1"/>
  <c r="AC258" i="1"/>
  <c r="AA258" i="1"/>
  <c r="AF258" i="1" s="1"/>
  <c r="AE258" i="1"/>
  <c r="AD258" i="1"/>
  <c r="AB258" i="1"/>
  <c r="AD518" i="1"/>
  <c r="AC518" i="1"/>
  <c r="AB518" i="1"/>
  <c r="Z518" i="1"/>
  <c r="AA518" i="1"/>
  <c r="AF518" i="1" s="1"/>
  <c r="AE518" i="1"/>
  <c r="AA479" i="1"/>
  <c r="AF479" i="1" s="1"/>
  <c r="AD479" i="1"/>
  <c r="AB479" i="1"/>
  <c r="Z479" i="1"/>
  <c r="AE479" i="1"/>
  <c r="AC479" i="1"/>
  <c r="AB689" i="1"/>
  <c r="AE689" i="1"/>
  <c r="Z689" i="1"/>
  <c r="AA689" i="1"/>
  <c r="AF689" i="1" s="1"/>
  <c r="AD689" i="1"/>
  <c r="AC689" i="1"/>
  <c r="AE155" i="1"/>
  <c r="AC155" i="1"/>
  <c r="AD155" i="1"/>
  <c r="AA155" i="1"/>
  <c r="AF155" i="1" s="1"/>
  <c r="AB155" i="1"/>
  <c r="Z155" i="1"/>
  <c r="Z622" i="1"/>
  <c r="AA622" i="1"/>
  <c r="AF622" i="1" s="1"/>
  <c r="AD622" i="1"/>
  <c r="AC622" i="1"/>
  <c r="AE622" i="1"/>
  <c r="AB622" i="1"/>
  <c r="AC179" i="1"/>
  <c r="AE179" i="1"/>
  <c r="AB179" i="1"/>
  <c r="Z179" i="1"/>
  <c r="AA179" i="1"/>
  <c r="AF179" i="1" s="1"/>
  <c r="AD179" i="1"/>
  <c r="AA342" i="1"/>
  <c r="AF342" i="1" s="1"/>
  <c r="AC342" i="1"/>
  <c r="Z342" i="1"/>
  <c r="AB342" i="1"/>
  <c r="AE342" i="1"/>
  <c r="AD342" i="1"/>
  <c r="AE604" i="1"/>
  <c r="AC604" i="1"/>
  <c r="AB604" i="1"/>
  <c r="Z604" i="1"/>
  <c r="AD604" i="1"/>
  <c r="AA604" i="1"/>
  <c r="AF604" i="1" s="1"/>
  <c r="AC712" i="1"/>
  <c r="Z712" i="1"/>
  <c r="AE712" i="1"/>
  <c r="AA712" i="1"/>
  <c r="AF712" i="1" s="1"/>
  <c r="AB712" i="1"/>
  <c r="AD712" i="1"/>
  <c r="AD447" i="1"/>
  <c r="AA447" i="1"/>
  <c r="AF447" i="1" s="1"/>
  <c r="Z447" i="1"/>
  <c r="AC447" i="1"/>
  <c r="AB447" i="1"/>
  <c r="AE447" i="1"/>
  <c r="AB156" i="1"/>
  <c r="Z156" i="1"/>
  <c r="AE156" i="1"/>
  <c r="AD156" i="1"/>
  <c r="AA156" i="1"/>
  <c r="AF156" i="1" s="1"/>
  <c r="AC156" i="1"/>
  <c r="AA661" i="1"/>
  <c r="AF661" i="1" s="1"/>
  <c r="AC661" i="1"/>
  <c r="AD661" i="1"/>
  <c r="AE661" i="1"/>
  <c r="Z661" i="1"/>
  <c r="AB661" i="1"/>
  <c r="AE309" i="1"/>
  <c r="AD309" i="1"/>
  <c r="Z309" i="1"/>
  <c r="AA309" i="1"/>
  <c r="AF309" i="1" s="1"/>
  <c r="AC309" i="1"/>
  <c r="AB309" i="1"/>
  <c r="AB302" i="1"/>
  <c r="Z302" i="1"/>
  <c r="AC302" i="1"/>
  <c r="AA302" i="1"/>
  <c r="AF302" i="1" s="1"/>
  <c r="AD302" i="1"/>
  <c r="AE302" i="1"/>
  <c r="AA264" i="1"/>
  <c r="AF264" i="1" s="1"/>
  <c r="AB264" i="1"/>
  <c r="Z264" i="1"/>
  <c r="AC264" i="1"/>
  <c r="AE264" i="1"/>
  <c r="AD264" i="1"/>
  <c r="AE240" i="1"/>
  <c r="AB240" i="1"/>
  <c r="Z240" i="1"/>
  <c r="AC240" i="1"/>
  <c r="AA240" i="1"/>
  <c r="AF240" i="1" s="1"/>
  <c r="AD240" i="1"/>
  <c r="Z323" i="1"/>
  <c r="AE323" i="1"/>
  <c r="AD323" i="1"/>
  <c r="AA323" i="1"/>
  <c r="AF323" i="1" s="1"/>
  <c r="AC323" i="1"/>
  <c r="AB323" i="1"/>
  <c r="AE170" i="1"/>
  <c r="AD170" i="1"/>
  <c r="AA170" i="1"/>
  <c r="AF170" i="1" s="1"/>
  <c r="AB170" i="1"/>
  <c r="Z170" i="1"/>
  <c r="AC170" i="1"/>
  <c r="Z383" i="1"/>
  <c r="AA383" i="1"/>
  <c r="AF383" i="1" s="1"/>
  <c r="AC383" i="1"/>
  <c r="AB383" i="1"/>
  <c r="AE383" i="1"/>
  <c r="AD383" i="1"/>
  <c r="AC15" i="1"/>
  <c r="AA15" i="1"/>
  <c r="AF15" i="1" s="1"/>
  <c r="Z15" i="1"/>
  <c r="AE15" i="1"/>
  <c r="AD15" i="1"/>
  <c r="AB15" i="1"/>
  <c r="Z324" i="1"/>
  <c r="AA324" i="1"/>
  <c r="AF324" i="1" s="1"/>
  <c r="AC324" i="1"/>
  <c r="AB324" i="1"/>
  <c r="AD324" i="1"/>
  <c r="AE324" i="1"/>
  <c r="AA184" i="1"/>
  <c r="AF184" i="1" s="1"/>
  <c r="AC184" i="1"/>
  <c r="Z184" i="1"/>
  <c r="AB184" i="1"/>
  <c r="AE184" i="1"/>
  <c r="AD184" i="1"/>
  <c r="AA241" i="1"/>
  <c r="AF241" i="1" s="1"/>
  <c r="AC241" i="1"/>
  <c r="AD241" i="1"/>
  <c r="Z241" i="1"/>
  <c r="AE241" i="1"/>
  <c r="AB241" i="1"/>
  <c r="AE259" i="1"/>
  <c r="AD259" i="1"/>
  <c r="AB259" i="1"/>
  <c r="AC259" i="1"/>
  <c r="Z259" i="1"/>
  <c r="AA259" i="1"/>
  <c r="AF259" i="1" s="1"/>
  <c r="AE213" i="1"/>
  <c r="AA213" i="1"/>
  <c r="AF213" i="1" s="1"/>
  <c r="AB213" i="1"/>
  <c r="Z213" i="1"/>
  <c r="AC213" i="1"/>
  <c r="AD213" i="1"/>
  <c r="AA376" i="1"/>
  <c r="AF376" i="1" s="1"/>
  <c r="AE376" i="1"/>
  <c r="AD376" i="1"/>
  <c r="AC376" i="1"/>
  <c r="Z376" i="1"/>
  <c r="AB376" i="1"/>
  <c r="AC592" i="1"/>
  <c r="AD592" i="1"/>
  <c r="Z592" i="1"/>
  <c r="AE592" i="1"/>
  <c r="AB592" i="1"/>
  <c r="AA592" i="1"/>
  <c r="AF592" i="1" s="1"/>
  <c r="AC573" i="1"/>
  <c r="AE573" i="1"/>
  <c r="AA573" i="1"/>
  <c r="AF573" i="1" s="1"/>
  <c r="AD573" i="1"/>
  <c r="Z573" i="1"/>
  <c r="AB573" i="1"/>
  <c r="AB261" i="1"/>
  <c r="AA261" i="1"/>
  <c r="AF261" i="1" s="1"/>
  <c r="AC261" i="1"/>
  <c r="Z261" i="1"/>
  <c r="AD261" i="1"/>
  <c r="AE261" i="1"/>
  <c r="AE9" i="1"/>
  <c r="Z9" i="1"/>
  <c r="AD9" i="1"/>
  <c r="AC9" i="1"/>
  <c r="AA9" i="1"/>
  <c r="AF9" i="1" s="1"/>
  <c r="AB9" i="1"/>
  <c r="Z181" i="1"/>
  <c r="AD181" i="1"/>
  <c r="AB181" i="1"/>
  <c r="AA181" i="1"/>
  <c r="AF181" i="1" s="1"/>
  <c r="AC181" i="1"/>
  <c r="AE181" i="1"/>
  <c r="AC271" i="1"/>
  <c r="AE271" i="1"/>
  <c r="AD271" i="1"/>
  <c r="AA271" i="1"/>
  <c r="AF271" i="1" s="1"/>
  <c r="Z271" i="1"/>
  <c r="AB271" i="1"/>
  <c r="AA228" i="1"/>
  <c r="AF228" i="1" s="1"/>
  <c r="AC228" i="1"/>
  <c r="AD228" i="1"/>
  <c r="AE228" i="1"/>
  <c r="Z228" i="1"/>
  <c r="AB228" i="1"/>
  <c r="AC281" i="1"/>
  <c r="Z281" i="1"/>
  <c r="AB281" i="1"/>
  <c r="AE281" i="1"/>
  <c r="AA281" i="1"/>
  <c r="AF281" i="1" s="1"/>
  <c r="AD281" i="1"/>
  <c r="AD70" i="1"/>
  <c r="AB70" i="1"/>
  <c r="AA70" i="1"/>
  <c r="AF70" i="1" s="1"/>
  <c r="AC70" i="1"/>
  <c r="Z70" i="1"/>
  <c r="AE70" i="1"/>
  <c r="AB85" i="1"/>
  <c r="AE85" i="1"/>
  <c r="AC85" i="1"/>
  <c r="AA85" i="1"/>
  <c r="AF85" i="1" s="1"/>
  <c r="AD85" i="1"/>
  <c r="Z85" i="1"/>
  <c r="AE39" i="1"/>
  <c r="AC39" i="1"/>
  <c r="AB39" i="1"/>
  <c r="AA39" i="1"/>
  <c r="AF39" i="1" s="1"/>
  <c r="Z39" i="1"/>
  <c r="AD39" i="1"/>
  <c r="AA673" i="1"/>
  <c r="AF673" i="1" s="1"/>
  <c r="AE673" i="1"/>
  <c r="Z673" i="1"/>
  <c r="AB673" i="1"/>
  <c r="AC673" i="1"/>
  <c r="AD673" i="1"/>
  <c r="AC710" i="1"/>
  <c r="AE710" i="1"/>
  <c r="AB710" i="1"/>
  <c r="AA710" i="1"/>
  <c r="AF710" i="1" s="1"/>
  <c r="AD710" i="1"/>
  <c r="Z710" i="1"/>
  <c r="Z203" i="1"/>
  <c r="AB203" i="1"/>
  <c r="AC203" i="1"/>
  <c r="AE203" i="1"/>
  <c r="AD203" i="1"/>
  <c r="AA203" i="1"/>
  <c r="AF203" i="1" s="1"/>
  <c r="AD147" i="1"/>
  <c r="AB147" i="1"/>
  <c r="AC147" i="1"/>
  <c r="AE147" i="1"/>
  <c r="AA147" i="1"/>
  <c r="AF147" i="1" s="1"/>
  <c r="Z147" i="1"/>
  <c r="AE140" i="1"/>
  <c r="AD140" i="1"/>
  <c r="Z140" i="1"/>
  <c r="AC140" i="1"/>
  <c r="AA140" i="1"/>
  <c r="AF140" i="1" s="1"/>
  <c r="AB140" i="1"/>
  <c r="AA101" i="1"/>
  <c r="AF101" i="1" s="1"/>
  <c r="AB101" i="1"/>
  <c r="Z101" i="1"/>
  <c r="AD101" i="1"/>
  <c r="AC101" i="1"/>
  <c r="AE101" i="1"/>
  <c r="AC33" i="1"/>
  <c r="AD33" i="1"/>
  <c r="AE33" i="1"/>
  <c r="Z33" i="1"/>
  <c r="AA33" i="1"/>
  <c r="AF33" i="1" s="1"/>
  <c r="AB33" i="1"/>
  <c r="AC413" i="1"/>
  <c r="AB413" i="1"/>
  <c r="Z413" i="1"/>
  <c r="AD413" i="1"/>
  <c r="AA413" i="1"/>
  <c r="AF413" i="1" s="1"/>
  <c r="AE413" i="1"/>
  <c r="AE635" i="1"/>
  <c r="AA635" i="1"/>
  <c r="AF635" i="1" s="1"/>
  <c r="Z635" i="1"/>
  <c r="AD635" i="1"/>
  <c r="AB635" i="1"/>
  <c r="AC635" i="1"/>
  <c r="AC95" i="1"/>
  <c r="AB95" i="1"/>
  <c r="AE95" i="1"/>
  <c r="AA95" i="1"/>
  <c r="AF95" i="1" s="1"/>
  <c r="Z95" i="1"/>
  <c r="AD95" i="1"/>
  <c r="AE459" i="1"/>
  <c r="AA459" i="1"/>
  <c r="AF459" i="1" s="1"/>
  <c r="AB459" i="1"/>
  <c r="AC459" i="1"/>
  <c r="AD459" i="1"/>
  <c r="Z459" i="1"/>
  <c r="Z329" i="1"/>
  <c r="AC329" i="1"/>
  <c r="AD329" i="1"/>
  <c r="AE329" i="1"/>
  <c r="AA329" i="1"/>
  <c r="AF329" i="1" s="1"/>
  <c r="AB329" i="1"/>
  <c r="AA713" i="1"/>
  <c r="AF713" i="1" s="1"/>
  <c r="Z713" i="1"/>
  <c r="AD713" i="1"/>
  <c r="AB713" i="1"/>
  <c r="AE713" i="1"/>
  <c r="AC713" i="1"/>
  <c r="AC538" i="1"/>
  <c r="AE538" i="1"/>
  <c r="AB538" i="1"/>
  <c r="AD538" i="1"/>
  <c r="Z538" i="1"/>
  <c r="AA538" i="1"/>
  <c r="AF538" i="1" s="1"/>
  <c r="AE345" i="1"/>
  <c r="AA345" i="1"/>
  <c r="AF345" i="1" s="1"/>
  <c r="AD345" i="1"/>
  <c r="AB345" i="1"/>
  <c r="AC345" i="1"/>
  <c r="Z345" i="1"/>
  <c r="Z41" i="1"/>
  <c r="AB41" i="1"/>
  <c r="AC41" i="1"/>
  <c r="AE41" i="1"/>
  <c r="AA41" i="1"/>
  <c r="AF41" i="1" s="1"/>
  <c r="AD41" i="1"/>
  <c r="AB472" i="1"/>
  <c r="AD472" i="1"/>
  <c r="AE472" i="1"/>
  <c r="AA472" i="1"/>
  <c r="AF472" i="1" s="1"/>
  <c r="Z472" i="1"/>
  <c r="AC472" i="1"/>
  <c r="AA778" i="1"/>
  <c r="AF778" i="1" s="1"/>
  <c r="AC778" i="1"/>
  <c r="AD778" i="1"/>
  <c r="AE778" i="1"/>
  <c r="Z778" i="1"/>
  <c r="AB778" i="1"/>
  <c r="AA127" i="1"/>
  <c r="AF127" i="1" s="1"/>
  <c r="Z127" i="1"/>
  <c r="AE127" i="1"/>
  <c r="AB127" i="1"/>
  <c r="AD127" i="1"/>
  <c r="AC127" i="1"/>
  <c r="AA222" i="1"/>
  <c r="AF222" i="1" s="1"/>
  <c r="AE222" i="1"/>
  <c r="AC222" i="1"/>
  <c r="Z222" i="1"/>
  <c r="AD222" i="1"/>
  <c r="AB222" i="1"/>
  <c r="Z18" i="1"/>
  <c r="AC18" i="1"/>
  <c r="AE18" i="1"/>
  <c r="AB18" i="1"/>
  <c r="AD18" i="1"/>
  <c r="AA18" i="1"/>
  <c r="AF18" i="1" s="1"/>
  <c r="AE786" i="1"/>
  <c r="AD786" i="1"/>
  <c r="AC786" i="1"/>
  <c r="Z786" i="1"/>
  <c r="AB786" i="1"/>
  <c r="AA786" i="1"/>
  <c r="AF786" i="1" s="1"/>
  <c r="AB406" i="1"/>
  <c r="AD406" i="1"/>
  <c r="AE406" i="1"/>
  <c r="AC406" i="1"/>
  <c r="AA406" i="1"/>
  <c r="AF406" i="1" s="1"/>
  <c r="Z406" i="1"/>
  <c r="AD98" i="1"/>
  <c r="AA98" i="1"/>
  <c r="AF98" i="1" s="1"/>
  <c r="Z98" i="1"/>
  <c r="AC98" i="1"/>
  <c r="AE98" i="1"/>
  <c r="AB98" i="1"/>
  <c r="AB138" i="1"/>
  <c r="AD138" i="1"/>
  <c r="AC138" i="1"/>
  <c r="Z138" i="1"/>
  <c r="AA138" i="1"/>
  <c r="AF138" i="1" s="1"/>
  <c r="AE138" i="1"/>
  <c r="AD283" i="1"/>
  <c r="AA283" i="1"/>
  <c r="AF283" i="1" s="1"/>
  <c r="AE283" i="1"/>
  <c r="AC283" i="1"/>
  <c r="Z283" i="1"/>
  <c r="AB283" i="1"/>
  <c r="AD530" i="1"/>
  <c r="Z530" i="1"/>
  <c r="AA530" i="1"/>
  <c r="AF530" i="1" s="1"/>
  <c r="AE530" i="1"/>
  <c r="AC530" i="1"/>
  <c r="AB530" i="1"/>
  <c r="AA730" i="1"/>
  <c r="AF730" i="1" s="1"/>
  <c r="AB730" i="1"/>
  <c r="Z730" i="1"/>
  <c r="AC730" i="1"/>
  <c r="AE730" i="1"/>
  <c r="AD730" i="1"/>
  <c r="AE199" i="1"/>
  <c r="AB199" i="1"/>
  <c r="Z199" i="1"/>
  <c r="AD199" i="1"/>
  <c r="AA199" i="1"/>
  <c r="AF199" i="1" s="1"/>
  <c r="AC199" i="1"/>
  <c r="AB250" i="1"/>
  <c r="AE250" i="1"/>
  <c r="AA250" i="1"/>
  <c r="AF250" i="1" s="1"/>
  <c r="AD250" i="1"/>
  <c r="Z250" i="1"/>
  <c r="AC250" i="1"/>
  <c r="AE551" i="1"/>
  <c r="AC551" i="1"/>
  <c r="AB551" i="1"/>
  <c r="Z551" i="1"/>
  <c r="AD551" i="1"/>
  <c r="AA551" i="1"/>
  <c r="AF551" i="1" s="1"/>
  <c r="AE221" i="1"/>
  <c r="Z221" i="1"/>
  <c r="AD221" i="1"/>
  <c r="AC221" i="1"/>
  <c r="AB221" i="1"/>
  <c r="AA221" i="1"/>
  <c r="AF221" i="1" s="1"/>
  <c r="AC97" i="1"/>
  <c r="AE97" i="1"/>
  <c r="Z97" i="1"/>
  <c r="AD97" i="1"/>
  <c r="AA97" i="1"/>
  <c r="AF97" i="1" s="1"/>
  <c r="AB97" i="1"/>
  <c r="AC105" i="1"/>
  <c r="Z105" i="1"/>
  <c r="AB105" i="1"/>
  <c r="AA105" i="1"/>
  <c r="AF105" i="1" s="1"/>
  <c r="AD105" i="1"/>
  <c r="AE105" i="1"/>
  <c r="AA733" i="1"/>
  <c r="AF733" i="1" s="1"/>
  <c r="AE733" i="1"/>
  <c r="AD733" i="1"/>
  <c r="AB733" i="1"/>
  <c r="AC733" i="1"/>
  <c r="Z733" i="1"/>
  <c r="Z529" i="1"/>
  <c r="AB529" i="1"/>
  <c r="AE529" i="1"/>
  <c r="AA529" i="1"/>
  <c r="AF529" i="1" s="1"/>
  <c r="AC529" i="1"/>
  <c r="AD529" i="1"/>
  <c r="AD381" i="1"/>
  <c r="AB381" i="1"/>
  <c r="Z381" i="1"/>
  <c r="AE381" i="1"/>
  <c r="AC381" i="1"/>
  <c r="AA381" i="1"/>
  <c r="AF381" i="1" s="1"/>
  <c r="AB410" i="1"/>
  <c r="AD410" i="1"/>
  <c r="AA410" i="1"/>
  <c r="AF410" i="1" s="1"/>
  <c r="Z410" i="1"/>
  <c r="AC410" i="1"/>
  <c r="AE410" i="1"/>
  <c r="AE26" i="1"/>
  <c r="AC26" i="1"/>
  <c r="AD26" i="1"/>
  <c r="AB26" i="1"/>
  <c r="AA26" i="1"/>
  <c r="AF26" i="1" s="1"/>
  <c r="Z26" i="1"/>
  <c r="AB320" i="1"/>
  <c r="AC320" i="1"/>
  <c r="Z320" i="1"/>
  <c r="AE320" i="1"/>
  <c r="AD320" i="1"/>
  <c r="AA320" i="1"/>
  <c r="AF320" i="1" s="1"/>
  <c r="Z14" i="1"/>
  <c r="AE14" i="1"/>
  <c r="AB14" i="1"/>
  <c r="AD14" i="1"/>
  <c r="AA14" i="1"/>
  <c r="AF14" i="1" s="1"/>
  <c r="AC14" i="1"/>
  <c r="AD610" i="1"/>
  <c r="AB610" i="1"/>
  <c r="Z610" i="1"/>
  <c r="AE610" i="1"/>
  <c r="AA610" i="1"/>
  <c r="AF610" i="1" s="1"/>
  <c r="AC610" i="1"/>
  <c r="AC202" i="1"/>
  <c r="AD202" i="1"/>
  <c r="AB202" i="1"/>
  <c r="AA202" i="1"/>
  <c r="AF202" i="1" s="1"/>
  <c r="Z202" i="1"/>
  <c r="AE202" i="1"/>
  <c r="AB779" i="1"/>
  <c r="AE779" i="1"/>
  <c r="Z779" i="1"/>
  <c r="AD779" i="1"/>
  <c r="AA779" i="1"/>
  <c r="AF779" i="1" s="1"/>
  <c r="AC779" i="1"/>
  <c r="AA123" i="1"/>
  <c r="AF123" i="1" s="1"/>
  <c r="AE123" i="1"/>
  <c r="AC123" i="1"/>
  <c r="AB123" i="1"/>
  <c r="AD123" i="1"/>
  <c r="Z123" i="1"/>
  <c r="Z88" i="1"/>
  <c r="AB88" i="1"/>
  <c r="AD88" i="1"/>
  <c r="AC88" i="1"/>
  <c r="AE88" i="1"/>
  <c r="AA88" i="1"/>
  <c r="AF88" i="1" s="1"/>
  <c r="AC288" i="1"/>
  <c r="Z288" i="1"/>
  <c r="AB288" i="1"/>
  <c r="AE288" i="1"/>
  <c r="AA288" i="1"/>
  <c r="AF288" i="1" s="1"/>
  <c r="AD288" i="1"/>
  <c r="AB233" i="1"/>
  <c r="AE233" i="1"/>
  <c r="AC233" i="1"/>
  <c r="AD233" i="1"/>
  <c r="AA233" i="1"/>
  <c r="AF233" i="1" s="1"/>
  <c r="Z233" i="1"/>
  <c r="Z357" i="1"/>
  <c r="AC357" i="1"/>
  <c r="AA357" i="1"/>
  <c r="AF357" i="1" s="1"/>
  <c r="AE357" i="1"/>
  <c r="AB357" i="1"/>
  <c r="AD357" i="1"/>
  <c r="AC91" i="1"/>
  <c r="Z91" i="1"/>
  <c r="AB91" i="1"/>
  <c r="AE91" i="1"/>
  <c r="AA91" i="1"/>
  <c r="AF91" i="1" s="1"/>
  <c r="AD91" i="1"/>
  <c r="AB629" i="1"/>
  <c r="Z629" i="1"/>
  <c r="AE629" i="1"/>
  <c r="AA629" i="1"/>
  <c r="AF629" i="1" s="1"/>
  <c r="AD629" i="1"/>
  <c r="AC629" i="1"/>
  <c r="AC781" i="1"/>
  <c r="AA781" i="1"/>
  <c r="AF781" i="1" s="1"/>
  <c r="AB781" i="1"/>
  <c r="AD781" i="1"/>
  <c r="AE781" i="1"/>
  <c r="Z781" i="1"/>
  <c r="AE68" i="1"/>
  <c r="AD68" i="1"/>
  <c r="AC68" i="1"/>
  <c r="AA68" i="1"/>
  <c r="AF68" i="1" s="1"/>
  <c r="Z68" i="1"/>
  <c r="AB68" i="1"/>
  <c r="AD553" i="1"/>
  <c r="AE553" i="1"/>
  <c r="AC553" i="1"/>
  <c r="Z553" i="1"/>
  <c r="AB553" i="1"/>
  <c r="AA553" i="1"/>
  <c r="AF553" i="1" s="1"/>
  <c r="AD289" i="1"/>
  <c r="AA289" i="1"/>
  <c r="AF289" i="1" s="1"/>
  <c r="AC289" i="1"/>
  <c r="AE289" i="1"/>
  <c r="AB289" i="1"/>
  <c r="Z289" i="1"/>
  <c r="AE578" i="1"/>
  <c r="AC578" i="1"/>
  <c r="AD578" i="1"/>
  <c r="AA578" i="1"/>
  <c r="AF578" i="1" s="1"/>
  <c r="AB578" i="1"/>
  <c r="Z578" i="1"/>
  <c r="AA639" i="1"/>
  <c r="AF639" i="1" s="1"/>
  <c r="AC639" i="1"/>
  <c r="AB639" i="1"/>
  <c r="Z639" i="1"/>
  <c r="AD639" i="1"/>
  <c r="AE639" i="1"/>
  <c r="AC560" i="1"/>
  <c r="AA560" i="1"/>
  <c r="AF560" i="1" s="1"/>
  <c r="AB560" i="1"/>
  <c r="AD560" i="1"/>
  <c r="AE560" i="1"/>
  <c r="Z560" i="1"/>
  <c r="AC621" i="1"/>
  <c r="AE621" i="1"/>
  <c r="AB621" i="1"/>
  <c r="Z621" i="1"/>
  <c r="AA621" i="1"/>
  <c r="AF621" i="1" s="1"/>
  <c r="AD621" i="1"/>
  <c r="Z157" i="1"/>
  <c r="AA157" i="1"/>
  <c r="AF157" i="1" s="1"/>
  <c r="AC157" i="1"/>
  <c r="AE157" i="1"/>
  <c r="AD157" i="1"/>
  <c r="AB157" i="1"/>
  <c r="Z272" i="1"/>
  <c r="AC272" i="1"/>
  <c r="AE272" i="1"/>
  <c r="AA272" i="1"/>
  <c r="AF272" i="1" s="1"/>
  <c r="AB272" i="1"/>
  <c r="AD272" i="1"/>
  <c r="AC54" i="1"/>
  <c r="AA54" i="1"/>
  <c r="AF54" i="1" s="1"/>
  <c r="AE54" i="1"/>
  <c r="AB54" i="1"/>
  <c r="Z54" i="1"/>
  <c r="AD54" i="1"/>
  <c r="AA83" i="1"/>
  <c r="AF83" i="1" s="1"/>
  <c r="Z83" i="1"/>
  <c r="AB83" i="1"/>
  <c r="AC83" i="1"/>
  <c r="AD83" i="1"/>
  <c r="AE83" i="1"/>
  <c r="AA575" i="1"/>
  <c r="AF575" i="1" s="1"/>
  <c r="AD575" i="1"/>
  <c r="AC575" i="1"/>
  <c r="AB575" i="1"/>
  <c r="AE575" i="1"/>
  <c r="Z575" i="1"/>
  <c r="Z721" i="1"/>
  <c r="AE721" i="1"/>
  <c r="AB721" i="1"/>
  <c r="AA721" i="1"/>
  <c r="AF721" i="1" s="1"/>
  <c r="AD721" i="1"/>
  <c r="AC721" i="1"/>
  <c r="AA465" i="1"/>
  <c r="AF465" i="1" s="1"/>
  <c r="Z465" i="1"/>
  <c r="AD465" i="1"/>
  <c r="AB465" i="1"/>
  <c r="AC465" i="1"/>
  <c r="AE465" i="1"/>
  <c r="AE670" i="1"/>
  <c r="Z670" i="1"/>
  <c r="AA670" i="1"/>
  <c r="AF670" i="1" s="1"/>
  <c r="AB670" i="1"/>
  <c r="AD670" i="1"/>
  <c r="AC670" i="1"/>
  <c r="AA191" i="1"/>
  <c r="AF191" i="1" s="1"/>
  <c r="Z191" i="1"/>
  <c r="AC191" i="1"/>
  <c r="AE191" i="1"/>
  <c r="AB191" i="1"/>
  <c r="AD191" i="1"/>
  <c r="AA60" i="1"/>
  <c r="AF60" i="1" s="1"/>
  <c r="Z60" i="1"/>
  <c r="AB60" i="1"/>
  <c r="AD60" i="1"/>
  <c r="AE60" i="1"/>
  <c r="AC60" i="1"/>
  <c r="AD306" i="1"/>
  <c r="AC306" i="1"/>
  <c r="AB306" i="1"/>
  <c r="AE306" i="1"/>
  <c r="AA306" i="1"/>
  <c r="AF306" i="1" s="1"/>
  <c r="Z306" i="1"/>
  <c r="AB574" i="1"/>
  <c r="AD574" i="1"/>
  <c r="Z574" i="1"/>
  <c r="AE574" i="1"/>
  <c r="AC574" i="1"/>
  <c r="AA574" i="1"/>
  <c r="AF574" i="1" s="1"/>
  <c r="AC62" i="1"/>
  <c r="AA62" i="1"/>
  <c r="AF62" i="1" s="1"/>
  <c r="AB62" i="1"/>
  <c r="Z62" i="1"/>
  <c r="AE62" i="1"/>
  <c r="AD62" i="1"/>
  <c r="AB611" i="1"/>
  <c r="AD611" i="1"/>
  <c r="Z611" i="1"/>
  <c r="AA611" i="1"/>
  <c r="AF611" i="1" s="1"/>
  <c r="AC611" i="1"/>
  <c r="AE611" i="1"/>
  <c r="AB697" i="1"/>
  <c r="AE697" i="1"/>
  <c r="Z697" i="1"/>
  <c r="AD697" i="1"/>
  <c r="AA697" i="1"/>
  <c r="AF697" i="1" s="1"/>
  <c r="AC697" i="1"/>
  <c r="AA61" i="1"/>
  <c r="AF61" i="1" s="1"/>
  <c r="AB61" i="1"/>
  <c r="AE61" i="1"/>
  <c r="AD61" i="1"/>
  <c r="Z61" i="1"/>
  <c r="AC61" i="1"/>
  <c r="AB642" i="1"/>
  <c r="AA642" i="1"/>
  <c r="AF642" i="1" s="1"/>
  <c r="AC642" i="1"/>
  <c r="AE642" i="1"/>
  <c r="Z642" i="1"/>
  <c r="AD642" i="1"/>
  <c r="Z772" i="1"/>
  <c r="AE772" i="1"/>
  <c r="AD772" i="1"/>
  <c r="AB772" i="1"/>
  <c r="AC772" i="1"/>
  <c r="AA772" i="1"/>
  <c r="AF772" i="1" s="1"/>
  <c r="AD72" i="1"/>
  <c r="AA72" i="1"/>
  <c r="AF72" i="1" s="1"/>
  <c r="Z72" i="1"/>
  <c r="AE72" i="1"/>
  <c r="AC72" i="1"/>
  <c r="AB72" i="1"/>
  <c r="AE440" i="1"/>
  <c r="AD440" i="1"/>
  <c r="Z440" i="1"/>
  <c r="AB440" i="1"/>
  <c r="AC440" i="1"/>
  <c r="AA440" i="1"/>
  <c r="AF440" i="1" s="1"/>
  <c r="AC677" i="1"/>
  <c r="AB677" i="1"/>
  <c r="Z677" i="1"/>
  <c r="AD677" i="1"/>
  <c r="AE677" i="1"/>
  <c r="AA677" i="1"/>
  <c r="AF677" i="1" s="1"/>
  <c r="Z5" i="1"/>
  <c r="AD5" i="1"/>
  <c r="AB5" i="1"/>
  <c r="AA5" i="1"/>
  <c r="AF5" i="1" s="1"/>
  <c r="AC5" i="1"/>
  <c r="AE5" i="1"/>
  <c r="AD404" i="1"/>
  <c r="AB404" i="1"/>
  <c r="AE404" i="1"/>
  <c r="Z404" i="1"/>
  <c r="AA404" i="1"/>
  <c r="AF404" i="1" s="1"/>
  <c r="AC404" i="1"/>
  <c r="AB207" i="1"/>
  <c r="AD207" i="1"/>
  <c r="AA207" i="1"/>
  <c r="AF207" i="1" s="1"/>
  <c r="Z207" i="1"/>
  <c r="AE207" i="1"/>
  <c r="AC207" i="1"/>
  <c r="AC163" i="1"/>
  <c r="AB163" i="1"/>
  <c r="Z163" i="1"/>
  <c r="AE163" i="1"/>
  <c r="AA163" i="1"/>
  <c r="AF163" i="1" s="1"/>
  <c r="AD163" i="1"/>
  <c r="AC100" i="1"/>
  <c r="AD100" i="1"/>
  <c r="AE100" i="1"/>
  <c r="Z100" i="1"/>
  <c r="AB100" i="1"/>
  <c r="AA100" i="1"/>
  <c r="AF100" i="1" s="1"/>
  <c r="AB394" i="1"/>
  <c r="AD394" i="1"/>
  <c r="Z394" i="1"/>
  <c r="AE394" i="1"/>
  <c r="AC394" i="1"/>
  <c r="AA394" i="1"/>
  <c r="AF394" i="1" s="1"/>
  <c r="Z354" i="1"/>
  <c r="AA354" i="1"/>
  <c r="AF354" i="1" s="1"/>
  <c r="AD354" i="1"/>
  <c r="AB354" i="1"/>
  <c r="AE354" i="1"/>
  <c r="AC354" i="1"/>
  <c r="AC738" i="1"/>
  <c r="AD738" i="1"/>
  <c r="AB738" i="1"/>
  <c r="Z738" i="1"/>
  <c r="AE738" i="1"/>
  <c r="AA738" i="1"/>
  <c r="AF738" i="1" s="1"/>
  <c r="AB418" i="1"/>
  <c r="AE418" i="1"/>
  <c r="AC418" i="1"/>
  <c r="Z418" i="1"/>
  <c r="AD418" i="1"/>
  <c r="AA418" i="1"/>
  <c r="AF418" i="1" s="1"/>
  <c r="AC503" i="1"/>
  <c r="AD503" i="1"/>
  <c r="AA503" i="1"/>
  <c r="AF503" i="1" s="1"/>
  <c r="Z503" i="1"/>
  <c r="AE503" i="1"/>
  <c r="AB503" i="1"/>
  <c r="AA137" i="1"/>
  <c r="AF137" i="1" s="1"/>
  <c r="AC137" i="1"/>
  <c r="AE137" i="1"/>
  <c r="Z137" i="1"/>
  <c r="AD137" i="1"/>
  <c r="AB137" i="1"/>
  <c r="Z774" i="1"/>
  <c r="AA774" i="1"/>
  <c r="AF774" i="1" s="1"/>
  <c r="AD774" i="1"/>
  <c r="AE774" i="1"/>
  <c r="AC774" i="1"/>
  <c r="AB774" i="1"/>
  <c r="AC96" i="1"/>
  <c r="AB96" i="1"/>
  <c r="AD96" i="1"/>
  <c r="Z96" i="1"/>
  <c r="AE96" i="1"/>
  <c r="AA96" i="1"/>
  <c r="AF96" i="1" s="1"/>
  <c r="AB694" i="1"/>
  <c r="AE694" i="1"/>
  <c r="AD694" i="1"/>
  <c r="Z694" i="1"/>
  <c r="AC694" i="1"/>
  <c r="AA694" i="1"/>
  <c r="AF694" i="1" s="1"/>
  <c r="AB515" i="1"/>
  <c r="AC515" i="1"/>
  <c r="Z515" i="1"/>
  <c r="AD515" i="1"/>
  <c r="AA515" i="1"/>
  <c r="AF515" i="1" s="1"/>
  <c r="AE515" i="1"/>
  <c r="AE500" i="1"/>
  <c r="AB500" i="1"/>
  <c r="Z500" i="1"/>
  <c r="AC500" i="1"/>
  <c r="AD500" i="1"/>
  <c r="AA500" i="1"/>
  <c r="AF500" i="1" s="1"/>
  <c r="AA22" i="1"/>
  <c r="AF22" i="1" s="1"/>
  <c r="AC22" i="1"/>
  <c r="AB22" i="1"/>
  <c r="Z22" i="1"/>
  <c r="AE22" i="1"/>
  <c r="AD22" i="1"/>
  <c r="AD102" i="1"/>
  <c r="AE102" i="1"/>
  <c r="AC102" i="1"/>
  <c r="AA102" i="1"/>
  <c r="AF102" i="1" s="1"/>
  <c r="AB102" i="1"/>
  <c r="Z102" i="1"/>
  <c r="AD742" i="1"/>
  <c r="Z742" i="1"/>
  <c r="AA742" i="1"/>
  <c r="AF742" i="1" s="1"/>
  <c r="AB742" i="1"/>
  <c r="AC742" i="1"/>
  <c r="AE742" i="1"/>
  <c r="AC456" i="1"/>
  <c r="AB456" i="1"/>
  <c r="AE456" i="1"/>
  <c r="Z456" i="1"/>
  <c r="AA456" i="1"/>
  <c r="AF456" i="1" s="1"/>
  <c r="AD456" i="1"/>
  <c r="Z218" i="1"/>
  <c r="AC218" i="1"/>
  <c r="AE218" i="1"/>
  <c r="AD218" i="1"/>
  <c r="AB218" i="1"/>
  <c r="AA218" i="1"/>
  <c r="AF218" i="1" s="1"/>
  <c r="AB71" i="1"/>
  <c r="AE71" i="1"/>
  <c r="Z71" i="1"/>
  <c r="AA71" i="1"/>
  <c r="AF71" i="1" s="1"/>
  <c r="AC71" i="1"/>
  <c r="AD71" i="1"/>
  <c r="AC363" i="1"/>
  <c r="Z363" i="1"/>
  <c r="AD363" i="1"/>
  <c r="AA363" i="1"/>
  <c r="AF363" i="1" s="1"/>
  <c r="AE363" i="1"/>
  <c r="AB363" i="1"/>
  <c r="AE521" i="1"/>
  <c r="AB521" i="1"/>
  <c r="AA521" i="1"/>
  <c r="AF521" i="1" s="1"/>
  <c r="AC521" i="1"/>
  <c r="Z521" i="1"/>
  <c r="AD521" i="1"/>
  <c r="AC313" i="1"/>
  <c r="AE313" i="1"/>
  <c r="AD313" i="1"/>
  <c r="AA313" i="1"/>
  <c r="AF313" i="1" s="1"/>
  <c r="Z313" i="1"/>
  <c r="AB313" i="1"/>
  <c r="AC461" i="1"/>
  <c r="AB461" i="1"/>
  <c r="AE461" i="1"/>
  <c r="AA461" i="1"/>
  <c r="AF461" i="1" s="1"/>
  <c r="Z461" i="1"/>
  <c r="AD461" i="1"/>
  <c r="AA337" i="1"/>
  <c r="AF337" i="1" s="1"/>
  <c r="AE337" i="1"/>
  <c r="Z337" i="1"/>
  <c r="AD337" i="1"/>
  <c r="AC337" i="1"/>
  <c r="AB337" i="1"/>
  <c r="AB417" i="1"/>
  <c r="AA417" i="1"/>
  <c r="AF417" i="1" s="1"/>
  <c r="AC417" i="1"/>
  <c r="AE417" i="1"/>
  <c r="Z417" i="1"/>
  <c r="AD417" i="1"/>
  <c r="AE25" i="1"/>
  <c r="Z25" i="1"/>
  <c r="AB25" i="1"/>
  <c r="AD25" i="1"/>
  <c r="AC25" i="1"/>
  <c r="AA25" i="1"/>
  <c r="AF25" i="1" s="1"/>
  <c r="AA580" i="1"/>
  <c r="AF580" i="1" s="1"/>
  <c r="Z580" i="1"/>
  <c r="AD580" i="1"/>
  <c r="AC580" i="1"/>
  <c r="AB580" i="1"/>
  <c r="AE580" i="1"/>
  <c r="AB53" i="1"/>
  <c r="AA53" i="1"/>
  <c r="AF53" i="1" s="1"/>
  <c r="AE53" i="1"/>
  <c r="AD53" i="1"/>
  <c r="AC53" i="1"/>
  <c r="Z53" i="1"/>
  <c r="Z785" i="1"/>
  <c r="AA785" i="1"/>
  <c r="AF785" i="1" s="1"/>
  <c r="AC785" i="1"/>
  <c r="AD785" i="1"/>
  <c r="AE785" i="1"/>
  <c r="AB785" i="1"/>
  <c r="AD707" i="1"/>
  <c r="AC707" i="1"/>
  <c r="AB707" i="1"/>
  <c r="AE707" i="1"/>
  <c r="Z707" i="1"/>
  <c r="AA707" i="1"/>
  <c r="AF707" i="1" s="1"/>
  <c r="AA409" i="1"/>
  <c r="AF409" i="1" s="1"/>
  <c r="AD409" i="1"/>
  <c r="Z409" i="1"/>
  <c r="AE409" i="1"/>
  <c r="AC409" i="1"/>
  <c r="AB409" i="1"/>
  <c r="AB316" i="1"/>
  <c r="Z316" i="1"/>
  <c r="AC316" i="1"/>
  <c r="AD316" i="1"/>
  <c r="AA316" i="1"/>
  <c r="AF316" i="1" s="1"/>
  <c r="AE316" i="1"/>
  <c r="AC437" i="1"/>
  <c r="AE437" i="1"/>
  <c r="Z437" i="1"/>
  <c r="AB437" i="1"/>
  <c r="AA437" i="1"/>
  <c r="AF437" i="1" s="1"/>
  <c r="AD437" i="1"/>
  <c r="AC364" i="1"/>
  <c r="AD364" i="1"/>
  <c r="AA364" i="1"/>
  <c r="AF364" i="1" s="1"/>
  <c r="Z364" i="1"/>
  <c r="AB364" i="1"/>
  <c r="AE364" i="1"/>
  <c r="AB112" i="1"/>
  <c r="Z112" i="1"/>
  <c r="AD112" i="1"/>
  <c r="AE112" i="1"/>
  <c r="AC112" i="1"/>
  <c r="AA112" i="1"/>
  <c r="AF112" i="1" s="1"/>
  <c r="AC305" i="1"/>
  <c r="Z305" i="1"/>
  <c r="AA305" i="1"/>
  <c r="AF305" i="1" s="1"/>
  <c r="AD305" i="1"/>
  <c r="AB305" i="1"/>
  <c r="AE305" i="1"/>
  <c r="AA663" i="1"/>
  <c r="AF663" i="1" s="1"/>
  <c r="AE663" i="1"/>
  <c r="AC663" i="1"/>
  <c r="AB663" i="1"/>
  <c r="AD663" i="1"/>
  <c r="Z663" i="1"/>
  <c r="AA662" i="1"/>
  <c r="AF662" i="1" s="1"/>
  <c r="Z662" i="1"/>
  <c r="AC662" i="1"/>
  <c r="AB662" i="1"/>
  <c r="AE662" i="1"/>
  <c r="AD662" i="1"/>
  <c r="AA727" i="1"/>
  <c r="AF727" i="1" s="1"/>
  <c r="AD727" i="1"/>
  <c r="AE727" i="1"/>
  <c r="AB727" i="1"/>
  <c r="Z727" i="1"/>
  <c r="AC727" i="1"/>
  <c r="AE77" i="1"/>
  <c r="Z77" i="1"/>
  <c r="AB77" i="1"/>
  <c r="AA77" i="1"/>
  <c r="AF77" i="1" s="1"/>
  <c r="AD77" i="1"/>
  <c r="AC77" i="1"/>
  <c r="AA746" i="1"/>
  <c r="AF746" i="1" s="1"/>
  <c r="AB746" i="1"/>
  <c r="AE746" i="1"/>
  <c r="AC746" i="1"/>
  <c r="AD746" i="1"/>
  <c r="Z746" i="1"/>
  <c r="AC759" i="1"/>
  <c r="Z759" i="1"/>
  <c r="AD759" i="1"/>
  <c r="AB759" i="1"/>
  <c r="AA759" i="1"/>
  <c r="AF759" i="1" s="1"/>
  <c r="AE759" i="1"/>
  <c r="AA87" i="1"/>
  <c r="AF87" i="1" s="1"/>
  <c r="Z87" i="1"/>
  <c r="AC87" i="1"/>
  <c r="AB87" i="1"/>
  <c r="AE87" i="1"/>
  <c r="AD87" i="1"/>
  <c r="Z531" i="1"/>
  <c r="AD531" i="1"/>
  <c r="AE531" i="1"/>
  <c r="AA531" i="1"/>
  <c r="AF531" i="1" s="1"/>
  <c r="AC531" i="1"/>
  <c r="AB531" i="1"/>
  <c r="AD132" i="1"/>
  <c r="AE132" i="1"/>
  <c r="AB132" i="1"/>
  <c r="Z132" i="1"/>
  <c r="AA132" i="1"/>
  <c r="AF132" i="1" s="1"/>
  <c r="AC132" i="1"/>
  <c r="Z488" i="1"/>
  <c r="AC488" i="1"/>
  <c r="AD488" i="1"/>
  <c r="AA488" i="1"/>
  <c r="AF488" i="1" s="1"/>
  <c r="AE488" i="1"/>
  <c r="AB488" i="1"/>
  <c r="AD767" i="1"/>
  <c r="AA767" i="1"/>
  <c r="AF767" i="1" s="1"/>
  <c r="Z767" i="1"/>
  <c r="AC767" i="1"/>
  <c r="AE767" i="1"/>
  <c r="AB767" i="1"/>
  <c r="AE585" i="1"/>
  <c r="AC585" i="1"/>
  <c r="AA585" i="1"/>
  <c r="AF585" i="1" s="1"/>
  <c r="AD585" i="1"/>
  <c r="Z585" i="1"/>
  <c r="AB585" i="1"/>
  <c r="AD339" i="1"/>
  <c r="AB339" i="1"/>
  <c r="AC339" i="1"/>
  <c r="AA339" i="1"/>
  <c r="AF339" i="1" s="1"/>
  <c r="Z339" i="1"/>
  <c r="AE339" i="1"/>
  <c r="AD32" i="1"/>
  <c r="AE32" i="1"/>
  <c r="AA32" i="1"/>
  <c r="AF32" i="1" s="1"/>
  <c r="Z32" i="1"/>
  <c r="AB32" i="1"/>
  <c r="AC32" i="1"/>
  <c r="AC492" i="1"/>
  <c r="AD492" i="1"/>
  <c r="AA492" i="1"/>
  <c r="AF492" i="1" s="1"/>
  <c r="AB492" i="1"/>
  <c r="AE492" i="1"/>
  <c r="Z492" i="1"/>
  <c r="AD279" i="1"/>
  <c r="Z279" i="1"/>
  <c r="AB279" i="1"/>
  <c r="AE279" i="1"/>
  <c r="AA279" i="1"/>
  <c r="AF279" i="1" s="1"/>
  <c r="AC279" i="1"/>
  <c r="AE104" i="1"/>
  <c r="AA104" i="1"/>
  <c r="AF104" i="1" s="1"/>
  <c r="AC104" i="1"/>
  <c r="AD104" i="1"/>
  <c r="AB104" i="1"/>
  <c r="Z104" i="1"/>
  <c r="Z204" i="1"/>
  <c r="AE204" i="1"/>
  <c r="AC204" i="1"/>
  <c r="AA204" i="1"/>
  <c r="AF204" i="1" s="1"/>
  <c r="AD204" i="1"/>
  <c r="AB204" i="1"/>
  <c r="AD139" i="1"/>
  <c r="AB139" i="1"/>
  <c r="Z139" i="1"/>
  <c r="AA139" i="1"/>
  <c r="AF139" i="1" s="1"/>
  <c r="AC139" i="1"/>
  <c r="AE139" i="1"/>
  <c r="AD187" i="1"/>
  <c r="Z187" i="1"/>
  <c r="AA187" i="1"/>
  <c r="AF187" i="1" s="1"/>
  <c r="AE187" i="1"/>
  <c r="AB187" i="1"/>
  <c r="AC187" i="1"/>
  <c r="Z566" i="1"/>
  <c r="AC566" i="1"/>
  <c r="AD566" i="1"/>
  <c r="AB566" i="1"/>
  <c r="AE566" i="1"/>
  <c r="AA566" i="1"/>
  <c r="AF566" i="1" s="1"/>
  <c r="AD626" i="1"/>
  <c r="Z626" i="1"/>
  <c r="AC626" i="1"/>
  <c r="AE626" i="1"/>
  <c r="AA626" i="1"/>
  <c r="AF626" i="1" s="1"/>
  <c r="AB626" i="1"/>
  <c r="Z16" i="1"/>
  <c r="AC16" i="1"/>
  <c r="AD16" i="1"/>
  <c r="AA16" i="1"/>
  <c r="AF16" i="1" s="1"/>
  <c r="AB16" i="1"/>
  <c r="AE16" i="1"/>
  <c r="AB48" i="1"/>
  <c r="AD48" i="1"/>
  <c r="AA48" i="1"/>
  <c r="AF48" i="1" s="1"/>
  <c r="AC48" i="1"/>
  <c r="Z48" i="1"/>
  <c r="AE48" i="1"/>
  <c r="AA330" i="1"/>
  <c r="AF330" i="1" s="1"/>
  <c r="AC330" i="1"/>
  <c r="Z330" i="1"/>
  <c r="AE330" i="1"/>
  <c r="AD330" i="1"/>
  <c r="AB330" i="1"/>
  <c r="Z451" i="1"/>
  <c r="AC451" i="1"/>
  <c r="AE451" i="1"/>
  <c r="AD451" i="1"/>
  <c r="AB451" i="1"/>
  <c r="AA451" i="1"/>
  <c r="AF451" i="1" s="1"/>
  <c r="AA797" i="1"/>
  <c r="AF797" i="1" s="1"/>
  <c r="AE797" i="1"/>
  <c r="AC797" i="1"/>
  <c r="Z797" i="1"/>
  <c r="AB797" i="1"/>
  <c r="AD797" i="1"/>
  <c r="AE476" i="1"/>
  <c r="AB476" i="1"/>
  <c r="AA476" i="1"/>
  <c r="AF476" i="1" s="1"/>
  <c r="Z476" i="1"/>
  <c r="AC476" i="1"/>
  <c r="AD476" i="1"/>
  <c r="Z675" i="1"/>
  <c r="AD675" i="1"/>
  <c r="AC675" i="1"/>
  <c r="AA675" i="1"/>
  <c r="AF675" i="1" s="1"/>
  <c r="AE675" i="1"/>
  <c r="AB675" i="1"/>
  <c r="AC504" i="1"/>
  <c r="AD504" i="1"/>
  <c r="AA504" i="1"/>
  <c r="AF504" i="1" s="1"/>
  <c r="AE504" i="1"/>
  <c r="Z504" i="1"/>
  <c r="AB504" i="1"/>
  <c r="AB242" i="1"/>
  <c r="AA242" i="1"/>
  <c r="AF242" i="1" s="1"/>
  <c r="AD242" i="1"/>
  <c r="AE242" i="1"/>
  <c r="AC242" i="1"/>
  <c r="Z242" i="1"/>
  <c r="AD508" i="1"/>
  <c r="AB508" i="1"/>
  <c r="AE508" i="1"/>
  <c r="Z508" i="1"/>
  <c r="AA508" i="1"/>
  <c r="AF508" i="1" s="1"/>
  <c r="AC508" i="1"/>
  <c r="AD671" i="1"/>
  <c r="AA671" i="1"/>
  <c r="AF671" i="1" s="1"/>
  <c r="AB671" i="1"/>
  <c r="AE671" i="1"/>
  <c r="Z671" i="1"/>
  <c r="AC671" i="1"/>
  <c r="AD389" i="1"/>
  <c r="AA389" i="1"/>
  <c r="AF389" i="1" s="1"/>
  <c r="AE389" i="1"/>
  <c r="AC389" i="1"/>
  <c r="Z389" i="1"/>
  <c r="AB389" i="1"/>
  <c r="AB602" i="1"/>
  <c r="AE602" i="1"/>
  <c r="AC602" i="1"/>
  <c r="AD602" i="1"/>
  <c r="Z602" i="1"/>
  <c r="AA602" i="1"/>
  <c r="AF602" i="1" s="1"/>
  <c r="AB298" i="1"/>
  <c r="AA298" i="1"/>
  <c r="AF298" i="1" s="1"/>
  <c r="AE298" i="1"/>
  <c r="AC298" i="1"/>
  <c r="AD298" i="1"/>
  <c r="Z298" i="1"/>
  <c r="AE332" i="1"/>
  <c r="AB332" i="1"/>
  <c r="AD332" i="1"/>
  <c r="AC332" i="1"/>
  <c r="AA332" i="1"/>
  <c r="AF332" i="1" s="1"/>
  <c r="Z332" i="1"/>
  <c r="AD589" i="1"/>
  <c r="AA589" i="1"/>
  <c r="AF589" i="1" s="1"/>
  <c r="Z589" i="1"/>
  <c r="AE589" i="1"/>
  <c r="AB589" i="1"/>
  <c r="AC589" i="1"/>
  <c r="AC401" i="1"/>
  <c r="Z401" i="1"/>
  <c r="AE401" i="1"/>
  <c r="AB401" i="1"/>
  <c r="AD401" i="1"/>
  <c r="AA401" i="1"/>
  <c r="AF401" i="1" s="1"/>
  <c r="AA643" i="1"/>
  <c r="AF643" i="1" s="1"/>
  <c r="AD643" i="1"/>
  <c r="Z643" i="1"/>
  <c r="AB643" i="1"/>
  <c r="AC643" i="1"/>
  <c r="AE643" i="1"/>
  <c r="Z343" i="1"/>
  <c r="AB343" i="1"/>
  <c r="AC343" i="1"/>
  <c r="AE343" i="1"/>
  <c r="AA343" i="1"/>
  <c r="AF343" i="1" s="1"/>
  <c r="AD343" i="1"/>
  <c r="AE481" i="1"/>
  <c r="AD481" i="1"/>
  <c r="AC481" i="1"/>
  <c r="AA481" i="1"/>
  <c r="AF481" i="1" s="1"/>
  <c r="Z481" i="1"/>
  <c r="AB481" i="1"/>
  <c r="AE556" i="1"/>
  <c r="AC556" i="1"/>
  <c r="Z556" i="1"/>
  <c r="AD556" i="1"/>
  <c r="AA556" i="1"/>
  <c r="AF556" i="1" s="1"/>
  <c r="AB556" i="1"/>
  <c r="AC699" i="1"/>
  <c r="AA699" i="1"/>
  <c r="AF699" i="1" s="1"/>
  <c r="Z699" i="1"/>
  <c r="AB699" i="1"/>
  <c r="AE699" i="1"/>
  <c r="AD699" i="1"/>
  <c r="AD282" i="1"/>
  <c r="AB282" i="1"/>
  <c r="AA282" i="1"/>
  <c r="AF282" i="1" s="1"/>
  <c r="AC282" i="1"/>
  <c r="AE282" i="1"/>
  <c r="Z282" i="1"/>
  <c r="AC513" i="1"/>
  <c r="AA513" i="1"/>
  <c r="AF513" i="1" s="1"/>
  <c r="AB513" i="1"/>
  <c r="AD513" i="1"/>
  <c r="Z513" i="1"/>
  <c r="AE513" i="1"/>
  <c r="AE683" i="1"/>
  <c r="AA683" i="1"/>
  <c r="AF683" i="1" s="1"/>
  <c r="AD683" i="1"/>
  <c r="AC683" i="1"/>
  <c r="Z683" i="1"/>
  <c r="AB683" i="1"/>
  <c r="AC393" i="1"/>
  <c r="AD393" i="1"/>
  <c r="AA393" i="1"/>
  <c r="AF393" i="1" s="1"/>
  <c r="Z393" i="1"/>
  <c r="AE393" i="1"/>
  <c r="AB393" i="1"/>
  <c r="AB623" i="1"/>
  <c r="AA623" i="1"/>
  <c r="AF623" i="1" s="1"/>
  <c r="AC623" i="1"/>
  <c r="AE623" i="1"/>
  <c r="AD623" i="1"/>
  <c r="Z623" i="1"/>
  <c r="AC411" i="1"/>
  <c r="AA411" i="1"/>
  <c r="AF411" i="1" s="1"/>
  <c r="AB411" i="1"/>
  <c r="Z411" i="1"/>
  <c r="AE411" i="1"/>
  <c r="AD411" i="1"/>
  <c r="AD295" i="1"/>
  <c r="AB295" i="1"/>
  <c r="AC295" i="1"/>
  <c r="AE295" i="1"/>
  <c r="Z295" i="1"/>
  <c r="AA295" i="1"/>
  <c r="AF295" i="1" s="1"/>
  <c r="AE487" i="1"/>
  <c r="AC487" i="1"/>
  <c r="Z487" i="1"/>
  <c r="AB487" i="1"/>
  <c r="AA487" i="1"/>
  <c r="AF487" i="1" s="1"/>
  <c r="AD487" i="1"/>
  <c r="AD522" i="1"/>
  <c r="Z522" i="1"/>
  <c r="AA522" i="1"/>
  <c r="AF522" i="1" s="1"/>
  <c r="AE522" i="1"/>
  <c r="AB522" i="1"/>
  <c r="AC522" i="1"/>
  <c r="AD3" i="1"/>
  <c r="Z3" i="1"/>
  <c r="AE3" i="1"/>
  <c r="AB3" i="1"/>
  <c r="AC3" i="1"/>
  <c r="AA3" i="1"/>
  <c r="AF3" i="1" s="1"/>
  <c r="Z55" i="1"/>
  <c r="AE55" i="1"/>
  <c r="AB55" i="1"/>
  <c r="AC55" i="1"/>
  <c r="AA55" i="1"/>
  <c r="AF55" i="1" s="1"/>
  <c r="AD55" i="1"/>
  <c r="AD291" i="1"/>
  <c r="AC291" i="1"/>
  <c r="AA291" i="1"/>
  <c r="AF291" i="1" s="1"/>
  <c r="AE291" i="1"/>
  <c r="AB291" i="1"/>
  <c r="Z291" i="1"/>
  <c r="Z491" i="1"/>
  <c r="AE491" i="1"/>
  <c r="AB491" i="1"/>
  <c r="AA491" i="1"/>
  <c r="AF491" i="1" s="1"/>
  <c r="AC491" i="1"/>
  <c r="AD491" i="1"/>
  <c r="AB200" i="1"/>
  <c r="Z200" i="1"/>
  <c r="AC200" i="1"/>
  <c r="AE200" i="1"/>
  <c r="AD200" i="1"/>
  <c r="AA200" i="1"/>
  <c r="AF200" i="1" s="1"/>
  <c r="AA720" i="1"/>
  <c r="AF720" i="1" s="1"/>
  <c r="AC720" i="1"/>
  <c r="AE720" i="1"/>
  <c r="AD720" i="1"/>
  <c r="AB720" i="1"/>
  <c r="Z720" i="1"/>
  <c r="AA576" i="1"/>
  <c r="AF576" i="1" s="1"/>
  <c r="Z576" i="1"/>
  <c r="AD576" i="1"/>
  <c r="AB576" i="1"/>
  <c r="AE576" i="1"/>
  <c r="AC576" i="1"/>
  <c r="AD31" i="1"/>
  <c r="Z31" i="1"/>
  <c r="AC31" i="1"/>
  <c r="AE31" i="1"/>
  <c r="AA31" i="1"/>
  <c r="AF31" i="1" s="1"/>
  <c r="AB31" i="1"/>
  <c r="AD777" i="1"/>
  <c r="AA777" i="1"/>
  <c r="AF777" i="1" s="1"/>
  <c r="AB777" i="1"/>
  <c r="AE777" i="1"/>
  <c r="Z777" i="1"/>
  <c r="AC777" i="1"/>
  <c r="AC581" i="1"/>
  <c r="AA581" i="1"/>
  <c r="AF581" i="1" s="1"/>
  <c r="Z581" i="1"/>
  <c r="AD581" i="1"/>
  <c r="AB581" i="1"/>
  <c r="AE581" i="1"/>
  <c r="AC331" i="1"/>
  <c r="Z331" i="1"/>
  <c r="AE331" i="1"/>
  <c r="AA331" i="1"/>
  <c r="AF331" i="1" s="1"/>
  <c r="AB331" i="1"/>
  <c r="AD331" i="1"/>
  <c r="AC384" i="1"/>
  <c r="AE384" i="1"/>
  <c r="AD384" i="1"/>
  <c r="AA384" i="1"/>
  <c r="AF384" i="1" s="1"/>
  <c r="AB384" i="1"/>
  <c r="Z384" i="1"/>
  <c r="AE652" i="1"/>
  <c r="AB652" i="1"/>
  <c r="Z652" i="1"/>
  <c r="AD652" i="1"/>
  <c r="AA652" i="1"/>
  <c r="AF652" i="1" s="1"/>
  <c r="AC652" i="1"/>
  <c r="AE741" i="1"/>
  <c r="AD741" i="1"/>
  <c r="Z741" i="1"/>
  <c r="AC741" i="1"/>
  <c r="AA741" i="1"/>
  <c r="AF741" i="1" s="1"/>
  <c r="AB741" i="1"/>
  <c r="AC613" i="1"/>
  <c r="AA613" i="1"/>
  <c r="AF613" i="1" s="1"/>
  <c r="AE613" i="1"/>
  <c r="AB613" i="1"/>
  <c r="AD613" i="1"/>
  <c r="Z613" i="1"/>
  <c r="AC403" i="1"/>
  <c r="AD403" i="1"/>
  <c r="Z403" i="1"/>
  <c r="AE403" i="1"/>
  <c r="AA403" i="1"/>
  <c r="AF403" i="1" s="1"/>
  <c r="AB403" i="1"/>
  <c r="Z764" i="1"/>
  <c r="AC764" i="1"/>
  <c r="AE764" i="1"/>
  <c r="AD764" i="1"/>
  <c r="AB764" i="1"/>
  <c r="AA764" i="1"/>
  <c r="AF764" i="1" s="1"/>
  <c r="AA773" i="1"/>
  <c r="AF773" i="1" s="1"/>
  <c r="AE773" i="1"/>
  <c r="AC773" i="1"/>
  <c r="Z773" i="1"/>
  <c r="AD773" i="1"/>
  <c r="AB773" i="1"/>
  <c r="Z176" i="1"/>
  <c r="AE176" i="1"/>
  <c r="AA176" i="1"/>
  <c r="AF176" i="1" s="1"/>
  <c r="AC176" i="1"/>
  <c r="AD176" i="1"/>
  <c r="AB176" i="1"/>
  <c r="AD714" i="1"/>
  <c r="AA714" i="1"/>
  <c r="AF714" i="1" s="1"/>
  <c r="Z714" i="1"/>
  <c r="AB714" i="1"/>
  <c r="AE714" i="1"/>
  <c r="AC714" i="1"/>
  <c r="AE399" i="1"/>
  <c r="AC399" i="1"/>
  <c r="Z399" i="1"/>
  <c r="AA399" i="1"/>
  <c r="AF399" i="1" s="1"/>
  <c r="AD399" i="1"/>
  <c r="AB399" i="1"/>
  <c r="AE480" i="1"/>
  <c r="AC480" i="1"/>
  <c r="AB480" i="1"/>
  <c r="AD480" i="1"/>
  <c r="AA480" i="1"/>
  <c r="AF480" i="1" s="1"/>
  <c r="Z480" i="1"/>
  <c r="Z21" i="1"/>
  <c r="AE21" i="1"/>
  <c r="AB21" i="1"/>
  <c r="AD21" i="1"/>
  <c r="AC21" i="1"/>
  <c r="AA21" i="1"/>
  <c r="AF21" i="1" s="1"/>
  <c r="Z588" i="1"/>
  <c r="AE588" i="1"/>
  <c r="AB588" i="1"/>
  <c r="AD588" i="1"/>
  <c r="AC588" i="1"/>
  <c r="AA588" i="1"/>
  <c r="AF588" i="1" s="1"/>
  <c r="AD445" i="1"/>
  <c r="AC445" i="1"/>
  <c r="AA445" i="1"/>
  <c r="AF445" i="1" s="1"/>
  <c r="Z445" i="1"/>
  <c r="AB445" i="1"/>
  <c r="AE445" i="1"/>
  <c r="AD45" i="1"/>
  <c r="AC45" i="1"/>
  <c r="AE45" i="1"/>
  <c r="AA45" i="1"/>
  <c r="AF45" i="1" s="1"/>
  <c r="AB45" i="1"/>
  <c r="Z45" i="1"/>
  <c r="Z168" i="1"/>
  <c r="AC168" i="1"/>
  <c r="AB168" i="1"/>
  <c r="AE168" i="1"/>
  <c r="AA168" i="1"/>
  <c r="AF168" i="1" s="1"/>
  <c r="AD168" i="1"/>
  <c r="AE755" i="1"/>
  <c r="AC755" i="1"/>
  <c r="AA755" i="1"/>
  <c r="AF755" i="1" s="1"/>
  <c r="AD755" i="1"/>
  <c r="AB755" i="1"/>
  <c r="Z755" i="1"/>
  <c r="AE420" i="1"/>
  <c r="AA420" i="1"/>
  <c r="AF420" i="1" s="1"/>
  <c r="AB420" i="1"/>
  <c r="AD420" i="1"/>
  <c r="AC420" i="1"/>
  <c r="Z420" i="1"/>
  <c r="AA446" i="1"/>
  <c r="AF446" i="1" s="1"/>
  <c r="Z446" i="1"/>
  <c r="AD446" i="1"/>
  <c r="AB446" i="1"/>
  <c r="AE446" i="1"/>
  <c r="AC446" i="1"/>
  <c r="AD385" i="1"/>
  <c r="AC385" i="1"/>
  <c r="AB385" i="1"/>
  <c r="AA385" i="1"/>
  <c r="AF385" i="1" s="1"/>
  <c r="AE385" i="1"/>
  <c r="Z385" i="1"/>
  <c r="AD485" i="1"/>
  <c r="AE485" i="1"/>
  <c r="AC485" i="1"/>
  <c r="Z485" i="1"/>
  <c r="AB485" i="1"/>
  <c r="AA485" i="1"/>
  <c r="AF485" i="1" s="1"/>
  <c r="AB152" i="1"/>
  <c r="AC152" i="1"/>
  <c r="AD152" i="1"/>
  <c r="AE152" i="1"/>
  <c r="AA152" i="1"/>
  <c r="AF152" i="1" s="1"/>
  <c r="Z152" i="1"/>
  <c r="AB666" i="1"/>
  <c r="AD666" i="1"/>
  <c r="Z666" i="1"/>
  <c r="AE666" i="1"/>
  <c r="AA666" i="1"/>
  <c r="AF666" i="1" s="1"/>
  <c r="AC666" i="1"/>
  <c r="AE434" i="1"/>
  <c r="AD434" i="1"/>
  <c r="AC434" i="1"/>
  <c r="AA434" i="1"/>
  <c r="AF434" i="1" s="1"/>
  <c r="Z434" i="1"/>
  <c r="AB434" i="1"/>
  <c r="AE439" i="1"/>
  <c r="AD439" i="1"/>
  <c r="AB439" i="1"/>
  <c r="AC439" i="1"/>
  <c r="AA439" i="1"/>
  <c r="AF439" i="1" s="1"/>
  <c r="Z439" i="1"/>
  <c r="AC230" i="1"/>
  <c r="AA230" i="1"/>
  <c r="AF230" i="1" s="1"/>
  <c r="Z230" i="1"/>
  <c r="AE230" i="1"/>
  <c r="AD230" i="1"/>
  <c r="AB230" i="1"/>
  <c r="AB47" i="1"/>
  <c r="AD47" i="1"/>
  <c r="AC47" i="1"/>
  <c r="AA47" i="1"/>
  <c r="AF47" i="1" s="1"/>
  <c r="AE47" i="1"/>
  <c r="Z47" i="1"/>
  <c r="AC517" i="1"/>
  <c r="AA517" i="1"/>
  <c r="AF517" i="1" s="1"/>
  <c r="AB517" i="1"/>
  <c r="AE517" i="1"/>
  <c r="Z517" i="1"/>
  <c r="AD517" i="1"/>
  <c r="AB64" i="1"/>
  <c r="AE64" i="1"/>
  <c r="Z64" i="1"/>
  <c r="AC64" i="1"/>
  <c r="AD64" i="1"/>
  <c r="AA64" i="1"/>
  <c r="AF64" i="1" s="1"/>
  <c r="AC292" i="1"/>
  <c r="Z292" i="1"/>
  <c r="AD292" i="1"/>
  <c r="AA292" i="1"/>
  <c r="AF292" i="1" s="1"/>
  <c r="AB292" i="1"/>
  <c r="AE292" i="1"/>
  <c r="AD267" i="1"/>
  <c r="AE267" i="1"/>
  <c r="AC267" i="1"/>
  <c r="AA267" i="1"/>
  <c r="AF267" i="1" s="1"/>
  <c r="AB267" i="1"/>
  <c r="Z267" i="1"/>
  <c r="AB425" i="1"/>
  <c r="AD425" i="1"/>
  <c r="AA425" i="1"/>
  <c r="AF425" i="1" s="1"/>
  <c r="Z425" i="1"/>
  <c r="AC425" i="1"/>
  <c r="AE425" i="1"/>
  <c r="Z499" i="1"/>
  <c r="AE499" i="1"/>
  <c r="AD499" i="1"/>
  <c r="AC499" i="1"/>
  <c r="AA499" i="1"/>
  <c r="AF499" i="1" s="1"/>
  <c r="AB499" i="1"/>
  <c r="AC756" i="1"/>
  <c r="Z756" i="1"/>
  <c r="AE756" i="1"/>
  <c r="AB756" i="1"/>
  <c r="AD756" i="1"/>
  <c r="AA756" i="1"/>
  <c r="AF756" i="1" s="1"/>
  <c r="AD489" i="1"/>
  <c r="AB489" i="1"/>
  <c r="AE489" i="1"/>
  <c r="Z489" i="1"/>
  <c r="AA489" i="1"/>
  <c r="AF489" i="1" s="1"/>
  <c r="AC489" i="1"/>
  <c r="AC507" i="1"/>
  <c r="AB507" i="1"/>
  <c r="AA507" i="1"/>
  <c r="AF507" i="1" s="1"/>
  <c r="AD507" i="1"/>
  <c r="AE507" i="1"/>
  <c r="Z507" i="1"/>
  <c r="Z557" i="1"/>
  <c r="AA557" i="1"/>
  <c r="AF557" i="1" s="1"/>
  <c r="AB557" i="1"/>
  <c r="AE557" i="1"/>
  <c r="AD557" i="1"/>
  <c r="AC557" i="1"/>
  <c r="Z582" i="1"/>
  <c r="AA582" i="1"/>
  <c r="AF582" i="1" s="1"/>
  <c r="AB582" i="1"/>
  <c r="AE582" i="1"/>
  <c r="AD582" i="1"/>
  <c r="AC582" i="1"/>
  <c r="AE50" i="1"/>
  <c r="AA50" i="1"/>
  <c r="AF50" i="1" s="1"/>
  <c r="AD50" i="1"/>
  <c r="Z50" i="1"/>
  <c r="AB50" i="1"/>
  <c r="AC50" i="1"/>
  <c r="AA718" i="1"/>
  <c r="AF718" i="1" s="1"/>
  <c r="AE718" i="1"/>
  <c r="Z718" i="1"/>
  <c r="AC718" i="1"/>
  <c r="AB718" i="1"/>
  <c r="AD718" i="1"/>
  <c r="AE59" i="1"/>
  <c r="AA59" i="1"/>
  <c r="AF59" i="1" s="1"/>
  <c r="AB59" i="1"/>
  <c r="AC59" i="1"/>
  <c r="AD59" i="1"/>
  <c r="Z59" i="1"/>
  <c r="AB4" i="1"/>
  <c r="AA4" i="1"/>
  <c r="AF4" i="1" s="1"/>
  <c r="AE4" i="1"/>
  <c r="AC4" i="1"/>
  <c r="Z4" i="1"/>
  <c r="AD4" i="1"/>
  <c r="AC687" i="1"/>
  <c r="AB687" i="1"/>
  <c r="Z687" i="1"/>
  <c r="AA687" i="1"/>
  <c r="AF687" i="1" s="1"/>
  <c r="AD687" i="1"/>
  <c r="AE687" i="1"/>
  <c r="AA177" i="1"/>
  <c r="AF177" i="1" s="1"/>
  <c r="AD177" i="1"/>
  <c r="AE177" i="1"/>
  <c r="AB177" i="1"/>
  <c r="Z177" i="1"/>
  <c r="AC177" i="1"/>
  <c r="AC599" i="1"/>
  <c r="Z599" i="1"/>
  <c r="AB599" i="1"/>
  <c r="AA599" i="1"/>
  <c r="AF599" i="1" s="1"/>
  <c r="AD599" i="1"/>
  <c r="AE599" i="1"/>
  <c r="AA172" i="1"/>
  <c r="AF172" i="1" s="1"/>
  <c r="AB172" i="1"/>
  <c r="Z172" i="1"/>
  <c r="AD172" i="1"/>
  <c r="AC172" i="1"/>
  <c r="AE172" i="1"/>
  <c r="Z544" i="1"/>
  <c r="AC544" i="1"/>
  <c r="AB544" i="1"/>
  <c r="AE544" i="1"/>
  <c r="AA544" i="1"/>
  <c r="AF544" i="1" s="1"/>
  <c r="AD544" i="1"/>
  <c r="AC668" i="1"/>
  <c r="AD668" i="1"/>
  <c r="AA668" i="1"/>
  <c r="AF668" i="1" s="1"/>
  <c r="AE668" i="1"/>
  <c r="AB668" i="1"/>
  <c r="Z668" i="1"/>
  <c r="AD116" i="1"/>
  <c r="AA116" i="1"/>
  <c r="AF116" i="1" s="1"/>
  <c r="Z116" i="1"/>
  <c r="AE116" i="1"/>
  <c r="AC116" i="1"/>
  <c r="AB116" i="1"/>
  <c r="Z315" i="1"/>
  <c r="AA315" i="1"/>
  <c r="AF315" i="1" s="1"/>
  <c r="AC315" i="1"/>
  <c r="AE315" i="1"/>
  <c r="AB315" i="1"/>
  <c r="AD315" i="1"/>
  <c r="AE29" i="1"/>
  <c r="AB29" i="1"/>
  <c r="AA29" i="1"/>
  <c r="AF29" i="1" s="1"/>
  <c r="AC29" i="1"/>
  <c r="Z29" i="1"/>
  <c r="AD29" i="1"/>
  <c r="Z539" i="1"/>
  <c r="AD539" i="1"/>
  <c r="AA539" i="1"/>
  <c r="AF539" i="1" s="1"/>
  <c r="AE539" i="1"/>
  <c r="AB539" i="1"/>
  <c r="AC539" i="1"/>
  <c r="Z798" i="1"/>
  <c r="AE798" i="1"/>
  <c r="AC798" i="1"/>
  <c r="AB798" i="1"/>
  <c r="AA798" i="1"/>
  <c r="AF798" i="1" s="1"/>
  <c r="AD798" i="1"/>
  <c r="Z470" i="1"/>
  <c r="AB470" i="1"/>
  <c r="AC470" i="1"/>
  <c r="AA470" i="1"/>
  <c r="AF470" i="1" s="1"/>
  <c r="AD470" i="1"/>
  <c r="AE470" i="1"/>
  <c r="Z141" i="1"/>
  <c r="AC141" i="1"/>
  <c r="AE141" i="1"/>
  <c r="AB141" i="1"/>
  <c r="AA141" i="1"/>
  <c r="AF141" i="1" s="1"/>
  <c r="AD141" i="1"/>
  <c r="AD540" i="1"/>
  <c r="AB540" i="1"/>
  <c r="Z540" i="1"/>
  <c r="AE540" i="1"/>
  <c r="AC540" i="1"/>
  <c r="AA540" i="1"/>
  <c r="AF540" i="1" s="1"/>
  <c r="AC719" i="1"/>
  <c r="AA719" i="1"/>
  <c r="AF719" i="1" s="1"/>
  <c r="AB719" i="1"/>
  <c r="AE719" i="1"/>
  <c r="AD719" i="1"/>
  <c r="Z719" i="1"/>
  <c r="AB336" i="1"/>
  <c r="AD336" i="1"/>
  <c r="AA336" i="1"/>
  <c r="AF336" i="1" s="1"/>
  <c r="AC336" i="1"/>
  <c r="Z336" i="1"/>
  <c r="AE336" i="1"/>
  <c r="Z353" i="1"/>
  <c r="AE353" i="1"/>
  <c r="AD353" i="1"/>
  <c r="AC353" i="1"/>
  <c r="AA353" i="1"/>
  <c r="AF353" i="1" s="1"/>
  <c r="AB353" i="1"/>
  <c r="AE709" i="1"/>
  <c r="Z709" i="1"/>
  <c r="AC709" i="1"/>
  <c r="AB709" i="1"/>
  <c r="AA709" i="1"/>
  <c r="AF709" i="1" s="1"/>
  <c r="AD709" i="1"/>
  <c r="AB444" i="1"/>
  <c r="Z444" i="1"/>
  <c r="AE444" i="1"/>
  <c r="AA444" i="1"/>
  <c r="AF444" i="1" s="1"/>
  <c r="AD444" i="1"/>
  <c r="AC444" i="1"/>
  <c r="AA722" i="1"/>
  <c r="AF722" i="1" s="1"/>
  <c r="AB722" i="1"/>
  <c r="Z722" i="1"/>
  <c r="AD722" i="1"/>
  <c r="AE722" i="1"/>
  <c r="AC722" i="1"/>
  <c r="AD561" i="1"/>
  <c r="Z561" i="1"/>
  <c r="AC561" i="1"/>
  <c r="AA561" i="1"/>
  <c r="AF561" i="1" s="1"/>
  <c r="AE561" i="1"/>
  <c r="AB561" i="1"/>
  <c r="AD654" i="1"/>
  <c r="AC654" i="1"/>
  <c r="AE654" i="1"/>
  <c r="AB654" i="1"/>
  <c r="AA654" i="1"/>
  <c r="AF654" i="1" s="1"/>
  <c r="Z654" i="1"/>
  <c r="AD192" i="1"/>
  <c r="AB192" i="1"/>
  <c r="Z192" i="1"/>
  <c r="AE192" i="1"/>
  <c r="AC192" i="1"/>
  <c r="AA192" i="1"/>
  <c r="AF192" i="1" s="1"/>
  <c r="AB511" i="1"/>
  <c r="AD511" i="1"/>
  <c r="AA511" i="1"/>
  <c r="AF511" i="1" s="1"/>
  <c r="Z511" i="1"/>
  <c r="AC511" i="1"/>
  <c r="AE511" i="1"/>
  <c r="AD645" i="1"/>
  <c r="Z645" i="1"/>
  <c r="AB645" i="1"/>
  <c r="AE645" i="1"/>
  <c r="AA645" i="1"/>
  <c r="AF645" i="1" s="1"/>
  <c r="AC645" i="1"/>
  <c r="AE543" i="1"/>
  <c r="AC543" i="1"/>
  <c r="AB543" i="1"/>
  <c r="AD543" i="1"/>
  <c r="AA543" i="1"/>
  <c r="AF543" i="1" s="1"/>
  <c r="Z543" i="1"/>
  <c r="Z369" i="1"/>
  <c r="AD224" i="1"/>
  <c r="AE224" i="1"/>
  <c r="AC224" i="1"/>
  <c r="AA224" i="1"/>
  <c r="AF224" i="1" s="1"/>
  <c r="Z224" i="1"/>
  <c r="AB224" i="1"/>
  <c r="AC686" i="1"/>
  <c r="AE686" i="1"/>
  <c r="AA686" i="1"/>
  <c r="AF686" i="1" s="1"/>
  <c r="Z686" i="1"/>
  <c r="AB686" i="1"/>
  <c r="AD686" i="1"/>
  <c r="AC374" i="1"/>
  <c r="AD374" i="1"/>
  <c r="AE374" i="1"/>
  <c r="AA374" i="1"/>
  <c r="AF374" i="1" s="1"/>
  <c r="AB374" i="1"/>
  <c r="Z374" i="1"/>
  <c r="AA750" i="1"/>
  <c r="AF750" i="1" s="1"/>
  <c r="AE750" i="1"/>
  <c r="AB750" i="1"/>
  <c r="AC750" i="1"/>
  <c r="Z750" i="1"/>
  <c r="AD750" i="1"/>
  <c r="AA608" i="1"/>
  <c r="AF608" i="1" s="1"/>
  <c r="AB608" i="1"/>
  <c r="AD608" i="1"/>
  <c r="AC608" i="1"/>
  <c r="AE608" i="1"/>
  <c r="Z608" i="1"/>
  <c r="AD648" i="1"/>
  <c r="AE648" i="1"/>
  <c r="Z648" i="1"/>
  <c r="AB648" i="1"/>
  <c r="AA648" i="1"/>
  <c r="AF648" i="1" s="1"/>
  <c r="AC648" i="1"/>
  <c r="AD607" i="1"/>
  <c r="AE607" i="1"/>
  <c r="AB607" i="1"/>
  <c r="AA607" i="1"/>
  <c r="AF607" i="1" s="1"/>
  <c r="AC607" i="1"/>
  <c r="Z607" i="1"/>
  <c r="AB74" i="1"/>
  <c r="AE74" i="1"/>
  <c r="Z74" i="1"/>
  <c r="AD74" i="1"/>
  <c r="AA74" i="1"/>
  <c r="AF74" i="1" s="1"/>
  <c r="AC74" i="1"/>
  <c r="AA768" i="1"/>
  <c r="AF768" i="1" s="1"/>
  <c r="AC768" i="1"/>
  <c r="Z768" i="1"/>
  <c r="AB768" i="1"/>
  <c r="AD768" i="1"/>
  <c r="AE768" i="1"/>
  <c r="AE577" i="1"/>
  <c r="AD577" i="1"/>
  <c r="Z577" i="1"/>
  <c r="AA577" i="1"/>
  <c r="AF577" i="1" s="1"/>
  <c r="AB577" i="1"/>
  <c r="AC577" i="1"/>
  <c r="AB788" i="1"/>
  <c r="Z788" i="1"/>
  <c r="AC788" i="1"/>
  <c r="AD788" i="1"/>
  <c r="AE788" i="1"/>
  <c r="AA788" i="1"/>
  <c r="AF788" i="1" s="1"/>
  <c r="Z110" i="1"/>
  <c r="AE110" i="1"/>
  <c r="AD110" i="1"/>
  <c r="AC110" i="1"/>
  <c r="AB110" i="1"/>
  <c r="AA110" i="1"/>
  <c r="AF110" i="1" s="1"/>
  <c r="AE340" i="1"/>
  <c r="AD340" i="1"/>
  <c r="AB340" i="1"/>
  <c r="Z340" i="1"/>
  <c r="AA340" i="1"/>
  <c r="AF340" i="1" s="1"/>
  <c r="AC340" i="1"/>
  <c r="AC464" i="1"/>
  <c r="AA464" i="1"/>
  <c r="AF464" i="1" s="1"/>
  <c r="AB464" i="1"/>
  <c r="AE464" i="1"/>
  <c r="AD464" i="1"/>
  <c r="Z464" i="1"/>
  <c r="AE118" i="1"/>
  <c r="AB118" i="1"/>
  <c r="Z118" i="1"/>
  <c r="AA118" i="1"/>
  <c r="AF118" i="1" s="1"/>
  <c r="AD118" i="1"/>
  <c r="AC118" i="1"/>
  <c r="Z335" i="1"/>
  <c r="AE335" i="1"/>
  <c r="AD335" i="1"/>
  <c r="AA335" i="1"/>
  <c r="AF335" i="1" s="1"/>
  <c r="AC335" i="1"/>
  <c r="AB335" i="1"/>
  <c r="Z747" i="1"/>
  <c r="AD747" i="1"/>
  <c r="AB747" i="1"/>
  <c r="AE747" i="1"/>
  <c r="AA747" i="1"/>
  <c r="AF747" i="1" s="1"/>
  <c r="AC747" i="1"/>
  <c r="AE40" i="1"/>
  <c r="AC40" i="1"/>
  <c r="AD40" i="1"/>
  <c r="Z40" i="1"/>
  <c r="AA40" i="1"/>
  <c r="AF40" i="1" s="1"/>
  <c r="AB40" i="1"/>
  <c r="Z482" i="1"/>
  <c r="AE482" i="1"/>
  <c r="AA482" i="1"/>
  <c r="AF482" i="1" s="1"/>
  <c r="AC482" i="1"/>
  <c r="AB482" i="1"/>
  <c r="AD482" i="1"/>
  <c r="AD676" i="1"/>
  <c r="AE676" i="1"/>
  <c r="AA676" i="1"/>
  <c r="AF676" i="1" s="1"/>
  <c r="AB676" i="1"/>
  <c r="AC676" i="1"/>
  <c r="Z676" i="1"/>
  <c r="Z792" i="1"/>
  <c r="AB792" i="1"/>
  <c r="AE792" i="1"/>
  <c r="AC792" i="1"/>
  <c r="AD792" i="1"/>
  <c r="AA792" i="1"/>
  <c r="AF792" i="1" s="1"/>
  <c r="AE368" i="1"/>
  <c r="AC368" i="1"/>
  <c r="AA368" i="1"/>
  <c r="AF368" i="1" s="1"/>
  <c r="AB368" i="1"/>
  <c r="AD368" i="1"/>
  <c r="Z368" i="1"/>
  <c r="AA528" i="1"/>
  <c r="AF528" i="1" s="1"/>
  <c r="AC528" i="1"/>
  <c r="AB528" i="1"/>
  <c r="AD528" i="1"/>
  <c r="Z528" i="1"/>
  <c r="AE528" i="1"/>
  <c r="AC724" i="1"/>
  <c r="AB724" i="1"/>
  <c r="AE724" i="1"/>
  <c r="Z724" i="1"/>
  <c r="AD724" i="1"/>
  <c r="AA724" i="1"/>
  <c r="AF724" i="1" s="1"/>
  <c r="Z216" i="1"/>
  <c r="AC216" i="1"/>
  <c r="AA216" i="1"/>
  <c r="AF216" i="1" s="1"/>
  <c r="AD216" i="1"/>
  <c r="AE216" i="1"/>
  <c r="AB216" i="1"/>
  <c r="AE92" i="1"/>
  <c r="AA92" i="1"/>
  <c r="AF92" i="1" s="1"/>
  <c r="AD92" i="1"/>
  <c r="Z92" i="1"/>
  <c r="AC92" i="1"/>
  <c r="AB92" i="1"/>
  <c r="Z93" i="1"/>
  <c r="AE93" i="1"/>
  <c r="AC93" i="1"/>
  <c r="AA93" i="1"/>
  <c r="AF93" i="1" s="1"/>
  <c r="AD93" i="1"/>
  <c r="AB93" i="1"/>
  <c r="AD128" i="1"/>
  <c r="AB128" i="1"/>
  <c r="Z128" i="1"/>
  <c r="AC128" i="1"/>
  <c r="AE128" i="1"/>
  <c r="AA128" i="1"/>
  <c r="AF128" i="1" s="1"/>
  <c r="Z246" i="1"/>
  <c r="AC246" i="1"/>
  <c r="AB246" i="1"/>
  <c r="AE246" i="1"/>
  <c r="AA246" i="1"/>
  <c r="AF246" i="1" s="1"/>
  <c r="AD246" i="1"/>
  <c r="AB43" i="1"/>
  <c r="AC43" i="1"/>
  <c r="AA43" i="1"/>
  <c r="AF43" i="1" s="1"/>
  <c r="AD43" i="1"/>
  <c r="Z43" i="1"/>
  <c r="AE43" i="1"/>
  <c r="AE510" i="1"/>
  <c r="AB510" i="1"/>
  <c r="AC510" i="1"/>
  <c r="AA510" i="1"/>
  <c r="AF510" i="1" s="1"/>
  <c r="AD510" i="1"/>
  <c r="Z510" i="1"/>
  <c r="AE120" i="1"/>
  <c r="AD120" i="1"/>
  <c r="AB120" i="1"/>
  <c r="AC120" i="1"/>
  <c r="Z120" i="1"/>
  <c r="AA120" i="1"/>
  <c r="AF120" i="1" s="1"/>
  <c r="AA109" i="1"/>
  <c r="AF109" i="1" s="1"/>
  <c r="AD109" i="1"/>
  <c r="AE109" i="1"/>
  <c r="AB109" i="1"/>
  <c r="Z109" i="1"/>
  <c r="AC109" i="1"/>
  <c r="AB150" i="1"/>
  <c r="AC150" i="1"/>
  <c r="Z150" i="1"/>
  <c r="AA150" i="1"/>
  <c r="AF150" i="1" s="1"/>
  <c r="AD150" i="1"/>
  <c r="AE150" i="1"/>
  <c r="AA545" i="1"/>
  <c r="AF545" i="1" s="1"/>
  <c r="AD545" i="1"/>
  <c r="AC545" i="1"/>
  <c r="AB545" i="1"/>
  <c r="Z545" i="1"/>
  <c r="AE545" i="1"/>
  <c r="AA405" i="1"/>
  <c r="AF405" i="1" s="1"/>
  <c r="AE405" i="1"/>
  <c r="Z405" i="1"/>
  <c r="AC405" i="1"/>
  <c r="AD405" i="1"/>
  <c r="AB405" i="1"/>
  <c r="AE28" i="1"/>
  <c r="AC28" i="1"/>
  <c r="AB28" i="1"/>
  <c r="AD28" i="1"/>
  <c r="AA28" i="1"/>
  <c r="AF28" i="1" s="1"/>
  <c r="Z28" i="1"/>
  <c r="AD352" i="1"/>
  <c r="Z352" i="1"/>
  <c r="AC352" i="1"/>
  <c r="AB352" i="1"/>
  <c r="AE352" i="1"/>
  <c r="AA352" i="1"/>
  <c r="AF352" i="1" s="1"/>
  <c r="AA748" i="1"/>
  <c r="AF748" i="1" s="1"/>
  <c r="AE748" i="1"/>
  <c r="AD748" i="1"/>
  <c r="AB748" i="1"/>
  <c r="Z748" i="1"/>
  <c r="AC748" i="1"/>
  <c r="Z373" i="1"/>
  <c r="AC373" i="1"/>
  <c r="AD373" i="1"/>
  <c r="AB373" i="1"/>
  <c r="AE373" i="1"/>
  <c r="AA373" i="1"/>
  <c r="AF373" i="1" s="1"/>
  <c r="AD165" i="1"/>
  <c r="Z165" i="1"/>
  <c r="AB165" i="1"/>
  <c r="AC165" i="1"/>
  <c r="AE165" i="1"/>
  <c r="AA165" i="1"/>
  <c r="AF165" i="1" s="1"/>
  <c r="AA523" i="1"/>
  <c r="AF523" i="1" s="1"/>
  <c r="AB523" i="1"/>
  <c r="Z523" i="1"/>
  <c r="AD523" i="1"/>
  <c r="AE523" i="1"/>
  <c r="AC523" i="1"/>
  <c r="AB193" i="1"/>
  <c r="AA193" i="1"/>
  <c r="AF193" i="1" s="1"/>
  <c r="AC193" i="1"/>
  <c r="AD193" i="1"/>
  <c r="AE193" i="1"/>
  <c r="Z193" i="1"/>
  <c r="AB148" i="1"/>
  <c r="AA148" i="1"/>
  <c r="AF148" i="1" s="1"/>
  <c r="AD148" i="1"/>
  <c r="Z148" i="1"/>
  <c r="AE148" i="1"/>
  <c r="AC148" i="1"/>
  <c r="AC514" i="1"/>
  <c r="AD514" i="1"/>
  <c r="AB514" i="1"/>
  <c r="AA514" i="1"/>
  <c r="AF514" i="1" s="1"/>
  <c r="Z514" i="1"/>
  <c r="AE514" i="1"/>
  <c r="Z270" i="1"/>
  <c r="AA270" i="1"/>
  <c r="AF270" i="1" s="1"/>
  <c r="AD270" i="1"/>
  <c r="AC270" i="1"/>
  <c r="AE270" i="1"/>
  <c r="AB270" i="1"/>
  <c r="AD667" i="1"/>
  <c r="Z667" i="1"/>
  <c r="AC667" i="1"/>
  <c r="AE667" i="1"/>
  <c r="AA667" i="1"/>
  <c r="AF667" i="1" s="1"/>
  <c r="AB667" i="1"/>
  <c r="AD198" i="1"/>
  <c r="AA198" i="1"/>
  <c r="AF198" i="1" s="1"/>
  <c r="AE198" i="1"/>
  <c r="Z198" i="1"/>
  <c r="AB198" i="1"/>
  <c r="AC198" i="1"/>
  <c r="AC537" i="1"/>
  <c r="AA537" i="1"/>
  <c r="AF537" i="1" s="1"/>
  <c r="AD537" i="1"/>
  <c r="AE537" i="1"/>
  <c r="Z537" i="1"/>
  <c r="AB537" i="1"/>
  <c r="AE723" i="1"/>
  <c r="Z723" i="1"/>
  <c r="AB723" i="1"/>
  <c r="AD723" i="1"/>
  <c r="AC723" i="1"/>
  <c r="AA723" i="1"/>
  <c r="AF723" i="1" s="1"/>
  <c r="Z285" i="1"/>
  <c r="AA285" i="1"/>
  <c r="AF285" i="1" s="1"/>
  <c r="AE285" i="1"/>
  <c r="AB285" i="1"/>
  <c r="AC285" i="1"/>
  <c r="AD285" i="1"/>
  <c r="Z90" i="1"/>
  <c r="AC90" i="1"/>
  <c r="AE90" i="1"/>
  <c r="AB90" i="1"/>
  <c r="AA90" i="1"/>
  <c r="AF90" i="1" s="1"/>
  <c r="AD90" i="1"/>
  <c r="AC402" i="1"/>
  <c r="AE402" i="1"/>
  <c r="AA402" i="1"/>
  <c r="AF402" i="1" s="1"/>
  <c r="Z402" i="1"/>
  <c r="AB402" i="1"/>
  <c r="AD402" i="1"/>
  <c r="AD146" i="1"/>
  <c r="AC146" i="1"/>
  <c r="AB146" i="1"/>
  <c r="AA146" i="1"/>
  <c r="AF146" i="1" s="1"/>
  <c r="AE146" i="1"/>
  <c r="Z146" i="1"/>
  <c r="Z614" i="1"/>
  <c r="AB614" i="1"/>
  <c r="AA614" i="1"/>
  <c r="AF614" i="1" s="1"/>
  <c r="AE614" i="1"/>
  <c r="AC614" i="1"/>
  <c r="AD614" i="1"/>
  <c r="Z239" i="1"/>
  <c r="AD239" i="1"/>
  <c r="AB239" i="1"/>
  <c r="AC239" i="1"/>
  <c r="AE239" i="1"/>
  <c r="AA239" i="1"/>
  <c r="AF239" i="1" s="1"/>
  <c r="AA757" i="1"/>
  <c r="AF757" i="1" s="1"/>
  <c r="AB757" i="1"/>
  <c r="AE757" i="1"/>
  <c r="AD757" i="1"/>
  <c r="Z757" i="1"/>
  <c r="AC757" i="1"/>
  <c r="AC749" i="1"/>
  <c r="AA749" i="1"/>
  <c r="AF749" i="1" s="1"/>
  <c r="AE749" i="1"/>
  <c r="AB749" i="1"/>
  <c r="Z749" i="1"/>
  <c r="AD749" i="1"/>
  <c r="AE555" i="1"/>
  <c r="AA555" i="1"/>
  <c r="AF555" i="1" s="1"/>
  <c r="AB555" i="1"/>
  <c r="AD555" i="1"/>
  <c r="AC555" i="1"/>
  <c r="Z555" i="1"/>
  <c r="Z19" i="1"/>
  <c r="AE19" i="1"/>
  <c r="AC19" i="1"/>
  <c r="AB19" i="1"/>
  <c r="AD19" i="1"/>
  <c r="AA19" i="1"/>
  <c r="AF19" i="1" s="1"/>
  <c r="Z760" i="1"/>
  <c r="AD760" i="1"/>
  <c r="AB760" i="1"/>
  <c r="AA760" i="1"/>
  <c r="AF760" i="1" s="1"/>
  <c r="AC760" i="1"/>
  <c r="AE760" i="1"/>
  <c r="AE728" i="1"/>
  <c r="AC728" i="1"/>
  <c r="AB728" i="1"/>
  <c r="AA728" i="1"/>
  <c r="AF728" i="1" s="1"/>
  <c r="Z728" i="1"/>
  <c r="AD728" i="1"/>
  <c r="AB548" i="1"/>
  <c r="Z548" i="1"/>
  <c r="AE548" i="1"/>
  <c r="AA548" i="1"/>
  <c r="AF548" i="1" s="1"/>
  <c r="AD548" i="1"/>
  <c r="AC548" i="1"/>
  <c r="Z119" i="1"/>
  <c r="AE119" i="1"/>
  <c r="AD119" i="1"/>
  <c r="AA119" i="1"/>
  <c r="AF119" i="1" s="1"/>
  <c r="AC119" i="1"/>
  <c r="AB119" i="1"/>
  <c r="AC37" i="1"/>
  <c r="AE37" i="1"/>
  <c r="Z37" i="1"/>
  <c r="AB37" i="1"/>
  <c r="AD37" i="1"/>
  <c r="AA37" i="1"/>
  <c r="AF37" i="1" s="1"/>
  <c r="AE212" i="1"/>
  <c r="AB212" i="1"/>
  <c r="AD212" i="1"/>
  <c r="AC212" i="1"/>
  <c r="Z212" i="1"/>
  <c r="AA212" i="1"/>
  <c r="AF212" i="1" s="1"/>
  <c r="AC625" i="1"/>
  <c r="AD625" i="1"/>
  <c r="AA625" i="1"/>
  <c r="AF625" i="1" s="1"/>
  <c r="AE625" i="1"/>
  <c r="AB625" i="1"/>
  <c r="Z625" i="1"/>
  <c r="AE606" i="1"/>
  <c r="AD606" i="1"/>
  <c r="AA606" i="1"/>
  <c r="AF606" i="1" s="1"/>
  <c r="Z606" i="1"/>
  <c r="AC606" i="1"/>
  <c r="AB606" i="1"/>
  <c r="AD284" i="1"/>
  <c r="AE284" i="1"/>
  <c r="Z284" i="1"/>
  <c r="AB284" i="1"/>
  <c r="AC284" i="1"/>
  <c r="AA284" i="1"/>
  <c r="AF284" i="1" s="1"/>
  <c r="AA600" i="1"/>
  <c r="AF600" i="1" s="1"/>
  <c r="AD600" i="1"/>
  <c r="Z600" i="1"/>
  <c r="AB600" i="1"/>
  <c r="AC600" i="1"/>
  <c r="AE600" i="1"/>
  <c r="Z355" i="1"/>
  <c r="AC355" i="1"/>
  <c r="AB355" i="1"/>
  <c r="AD355" i="1"/>
  <c r="AE355" i="1"/>
  <c r="AA355" i="1"/>
  <c r="AF355" i="1" s="1"/>
  <c r="AC519" i="1"/>
  <c r="AD519" i="1"/>
  <c r="Z519" i="1"/>
  <c r="AA519" i="1"/>
  <c r="AF519" i="1" s="1"/>
  <c r="AB519" i="1"/>
  <c r="AE519" i="1"/>
  <c r="AA107" i="1"/>
  <c r="AF107" i="1" s="1"/>
  <c r="AE107" i="1"/>
  <c r="AD107" i="1"/>
  <c r="Z107" i="1"/>
  <c r="AB107" i="1"/>
  <c r="AC107" i="1"/>
  <c r="Z371" i="1"/>
  <c r="AC690" i="1"/>
  <c r="AE690" i="1"/>
  <c r="Z690" i="1"/>
  <c r="AD690" i="1"/>
  <c r="AB690" i="1"/>
  <c r="AA690" i="1"/>
  <c r="AF690" i="1" s="1"/>
  <c r="AB263" i="1"/>
  <c r="AD263" i="1"/>
  <c r="AA263" i="1"/>
  <c r="AF263" i="1" s="1"/>
  <c r="AE263" i="1"/>
  <c r="Z263" i="1"/>
  <c r="AC263" i="1"/>
  <c r="Z659" i="1"/>
  <c r="AD659" i="1"/>
  <c r="AA659" i="1"/>
  <c r="AF659" i="1" s="1"/>
  <c r="AB659" i="1"/>
  <c r="AC659" i="1"/>
  <c r="AE659" i="1"/>
  <c r="Z370" i="1"/>
  <c r="AD486" i="1"/>
  <c r="Z486" i="1"/>
  <c r="AA486" i="1"/>
  <c r="AF486" i="1" s="1"/>
  <c r="AB486" i="1"/>
  <c r="AC486" i="1"/>
  <c r="AE486" i="1"/>
  <c r="AE452" i="1"/>
  <c r="AA452" i="1"/>
  <c r="AF452" i="1" s="1"/>
  <c r="AC452" i="1"/>
  <c r="AD452" i="1"/>
  <c r="Z452" i="1"/>
  <c r="AB452" i="1"/>
  <c r="AA211" i="1"/>
  <c r="AF211" i="1" s="1"/>
  <c r="AC211" i="1"/>
  <c r="AB211" i="1"/>
  <c r="AE211" i="1"/>
  <c r="AD211" i="1"/>
  <c r="Z211" i="1"/>
  <c r="AB634" i="1"/>
  <c r="AC634" i="1"/>
  <c r="AD634" i="1"/>
  <c r="AA634" i="1"/>
  <c r="AF634" i="1" s="1"/>
  <c r="AE634" i="1"/>
  <c r="Z634" i="1"/>
  <c r="AA38" i="1"/>
  <c r="AF38" i="1" s="1"/>
  <c r="AE38" i="1"/>
  <c r="AC38" i="1"/>
  <c r="Z38" i="1"/>
  <c r="AB38" i="1"/>
  <c r="AD38" i="1"/>
  <c r="Z650" i="1"/>
  <c r="AE650" i="1"/>
  <c r="AA650" i="1"/>
  <c r="AF650" i="1" s="1"/>
  <c r="AD650" i="1"/>
  <c r="AC650" i="1"/>
  <c r="AB650" i="1"/>
  <c r="AD726" i="1"/>
  <c r="AC726" i="1"/>
  <c r="AE726" i="1"/>
  <c r="Z726" i="1"/>
  <c r="AB726" i="1"/>
  <c r="AA726" i="1"/>
  <c r="AF726" i="1" s="1"/>
  <c r="AE454" i="1"/>
  <c r="AC454" i="1"/>
  <c r="AD454" i="1"/>
  <c r="AA454" i="1"/>
  <c r="AF454" i="1" s="1"/>
  <c r="AB454" i="1"/>
  <c r="Z454" i="1"/>
  <c r="AD34" i="1"/>
  <c r="AE34" i="1"/>
  <c r="Z34" i="1"/>
  <c r="AA34" i="1"/>
  <c r="AF34" i="1" s="1"/>
  <c r="AB34" i="1"/>
  <c r="AC34" i="1"/>
  <c r="AB387" i="1"/>
  <c r="AD387" i="1"/>
  <c r="AC387" i="1"/>
  <c r="Z387" i="1"/>
  <c r="AA387" i="1"/>
  <c r="AF387" i="1" s="1"/>
  <c r="AE387" i="1"/>
  <c r="AA547" i="1"/>
  <c r="AF547" i="1" s="1"/>
  <c r="AC547" i="1"/>
  <c r="AB547" i="1"/>
  <c r="Z547" i="1"/>
  <c r="AE547" i="1"/>
  <c r="AD547" i="1"/>
  <c r="AB535" i="1"/>
  <c r="AD535" i="1"/>
  <c r="AC535" i="1"/>
  <c r="AE535" i="1"/>
  <c r="AA535" i="1"/>
  <c r="AF535" i="1" s="1"/>
  <c r="Z535" i="1"/>
  <c r="AE235" i="1"/>
  <c r="AB235" i="1"/>
  <c r="AC235" i="1"/>
  <c r="Z235" i="1"/>
  <c r="AD235" i="1"/>
  <c r="AA235" i="1"/>
  <c r="AF235" i="1" s="1"/>
  <c r="AB194" i="1"/>
  <c r="AC194" i="1"/>
  <c r="AA194" i="1"/>
  <c r="AF194" i="1" s="1"/>
  <c r="AE194" i="1"/>
  <c r="AD194" i="1"/>
  <c r="Z194" i="1"/>
  <c r="AB665" i="1"/>
  <c r="AC665" i="1"/>
  <c r="AD665" i="1"/>
  <c r="AE665" i="1"/>
  <c r="Z665" i="1"/>
  <c r="AA665" i="1"/>
  <c r="AF665" i="1" s="1"/>
  <c r="AC563" i="1"/>
  <c r="AA563" i="1"/>
  <c r="AF563" i="1" s="1"/>
  <c r="Z563" i="1"/>
  <c r="AE563" i="1"/>
  <c r="AD563" i="1"/>
  <c r="AB563" i="1"/>
  <c r="Z775" i="1"/>
  <c r="AB775" i="1"/>
  <c r="AC775" i="1"/>
  <c r="AA775" i="1"/>
  <c r="AF775" i="1" s="1"/>
  <c r="AD775" i="1"/>
  <c r="AE775" i="1"/>
  <c r="AC67" i="1"/>
  <c r="AD67" i="1"/>
  <c r="AA67" i="1"/>
  <c r="AF67" i="1" s="1"/>
  <c r="AE67" i="1"/>
  <c r="Z67" i="1"/>
  <c r="AB67" i="1"/>
  <c r="AC460" i="1"/>
  <c r="AD460" i="1"/>
  <c r="AA460" i="1"/>
  <c r="AF460" i="1" s="1"/>
  <c r="AE460" i="1"/>
  <c r="AB460" i="1"/>
  <c r="Z460" i="1"/>
  <c r="AC125" i="1"/>
  <c r="Z125" i="1"/>
  <c r="AA125" i="1"/>
  <c r="AF125" i="1" s="1"/>
  <c r="AD125" i="1"/>
  <c r="AE125" i="1"/>
  <c r="AB125" i="1"/>
  <c r="AD783" i="1"/>
  <c r="AA783" i="1"/>
  <c r="AF783" i="1" s="1"/>
  <c r="AE783" i="1"/>
  <c r="AC783" i="1"/>
  <c r="Z783" i="1"/>
  <c r="AB783" i="1"/>
  <c r="AA591" i="1"/>
  <c r="AF591" i="1" s="1"/>
  <c r="AC591" i="1"/>
  <c r="AE591" i="1"/>
  <c r="Z591" i="1"/>
  <c r="AD591" i="1"/>
  <c r="AB591" i="1"/>
  <c r="AD57" i="1"/>
  <c r="Z57" i="1"/>
  <c r="AE57" i="1"/>
  <c r="AB57" i="1"/>
  <c r="AC57" i="1"/>
  <c r="AA57" i="1"/>
  <c r="AF57" i="1" s="1"/>
  <c r="AE161" i="1"/>
  <c r="AC161" i="1"/>
  <c r="AD161" i="1"/>
  <c r="AA161" i="1"/>
  <c r="AF161" i="1" s="1"/>
  <c r="AB161" i="1"/>
  <c r="Z161" i="1"/>
  <c r="AC784" i="1"/>
  <c r="Z784" i="1"/>
  <c r="AD784" i="1"/>
  <c r="AA784" i="1"/>
  <c r="AF784" i="1" s="1"/>
  <c r="AE784" i="1"/>
  <c r="AB784" i="1"/>
  <c r="AD135" i="1"/>
  <c r="Z135" i="1"/>
  <c r="AC135" i="1"/>
  <c r="AA135" i="1"/>
  <c r="AF135" i="1" s="1"/>
  <c r="AB135" i="1"/>
  <c r="AE135" i="1"/>
  <c r="AB688" i="1"/>
  <c r="AE688" i="1"/>
  <c r="AD688" i="1"/>
  <c r="AC688" i="1"/>
  <c r="AA688" i="1"/>
  <c r="AF688" i="1" s="1"/>
  <c r="Z688" i="1"/>
  <c r="AB75" i="1"/>
  <c r="Z75" i="1"/>
  <c r="AD75" i="1"/>
  <c r="AE75" i="1"/>
  <c r="AA75" i="1"/>
  <c r="AF75" i="1" s="1"/>
  <c r="AC75" i="1"/>
  <c r="AD277" i="1"/>
  <c r="AB277" i="1"/>
  <c r="AC277" i="1"/>
  <c r="AA277" i="1"/>
  <c r="AF277" i="1" s="1"/>
  <c r="Z277" i="1"/>
  <c r="AE277" i="1"/>
  <c r="Z321" i="1"/>
  <c r="AB321" i="1"/>
  <c r="AC321" i="1"/>
  <c r="AE321" i="1"/>
  <c r="AA321" i="1"/>
  <c r="AF321" i="1" s="1"/>
  <c r="AD321" i="1"/>
  <c r="Z154" i="1"/>
  <c r="AD154" i="1"/>
  <c r="AA154" i="1"/>
  <c r="AF154" i="1" s="1"/>
  <c r="AC154" i="1"/>
  <c r="AE154" i="1"/>
  <c r="AB154" i="1"/>
  <c r="Z525" i="1"/>
  <c r="AA525" i="1"/>
  <c r="AF525" i="1" s="1"/>
  <c r="AD525" i="1"/>
  <c r="AC525" i="1"/>
  <c r="AE525" i="1"/>
  <c r="AB525" i="1"/>
  <c r="AA550" i="1"/>
  <c r="AF550" i="1" s="1"/>
  <c r="AC550" i="1"/>
  <c r="AD550" i="1"/>
  <c r="AB550" i="1"/>
  <c r="Z550" i="1"/>
  <c r="AE550" i="1"/>
  <c r="AB94" i="1"/>
  <c r="AC94" i="1"/>
  <c r="AA94" i="1"/>
  <c r="AF94" i="1" s="1"/>
  <c r="Z94" i="1"/>
  <c r="AE94" i="1"/>
  <c r="AD94" i="1"/>
  <c r="AB134" i="1"/>
  <c r="Z134" i="1"/>
  <c r="AC134" i="1"/>
  <c r="AE134" i="1"/>
  <c r="AD134" i="1"/>
  <c r="AA134" i="1"/>
  <c r="AF134" i="1" s="1"/>
  <c r="AB656" i="1"/>
  <c r="AE656" i="1"/>
  <c r="Z656" i="1"/>
  <c r="AD656" i="1"/>
  <c r="AA656" i="1"/>
  <c r="AF656" i="1" s="1"/>
  <c r="AC656" i="1"/>
  <c r="AD493" i="1"/>
  <c r="AE493" i="1"/>
  <c r="AC493" i="1"/>
  <c r="AB493" i="1"/>
  <c r="AA493" i="1"/>
  <c r="AF493" i="1" s="1"/>
  <c r="Z493" i="1"/>
  <c r="AE682" i="1"/>
  <c r="AD682" i="1"/>
  <c r="Z682" i="1"/>
  <c r="AA682" i="1"/>
  <c r="AF682" i="1" s="1"/>
  <c r="AB682" i="1"/>
  <c r="AC682" i="1"/>
  <c r="AA350" i="1"/>
  <c r="AF350" i="1" s="1"/>
  <c r="Z350" i="1"/>
  <c r="AB350" i="1"/>
  <c r="AD350" i="1"/>
  <c r="AE350" i="1"/>
  <c r="AC350" i="1"/>
  <c r="AE225" i="1"/>
  <c r="AA225" i="1"/>
  <c r="AF225" i="1" s="1"/>
  <c r="AB225" i="1"/>
  <c r="AC225" i="1"/>
  <c r="AD225" i="1"/>
  <c r="Z225" i="1"/>
  <c r="AE359" i="1"/>
  <c r="AC359" i="1"/>
  <c r="Z359" i="1"/>
  <c r="AB359" i="1"/>
  <c r="AD359" i="1"/>
  <c r="AA359" i="1"/>
  <c r="AF359" i="1" s="1"/>
  <c r="AC36" i="1"/>
  <c r="AB36" i="1"/>
  <c r="AD36" i="1"/>
  <c r="Z36" i="1"/>
  <c r="AA36" i="1"/>
  <c r="AF36" i="1" s="1"/>
  <c r="AE36" i="1"/>
  <c r="AA314" i="1"/>
  <c r="AF314" i="1" s="1"/>
  <c r="AB314" i="1"/>
  <c r="Z314" i="1"/>
  <c r="AE314" i="1"/>
  <c r="AC314" i="1"/>
  <c r="AD314" i="1"/>
  <c r="AE735" i="1"/>
  <c r="AD735" i="1"/>
  <c r="AB735" i="1"/>
  <c r="AA735" i="1"/>
  <c r="AF735" i="1" s="1"/>
  <c r="Z735" i="1"/>
  <c r="AC735" i="1"/>
  <c r="AE317" i="1"/>
  <c r="Z317" i="1"/>
  <c r="AC317" i="1"/>
  <c r="AA317" i="1"/>
  <c r="AF317" i="1" s="1"/>
  <c r="AD317" i="1"/>
  <c r="AB317" i="1"/>
  <c r="Z462" i="1"/>
  <c r="AD462" i="1"/>
  <c r="AB462" i="1"/>
  <c r="AC462" i="1"/>
  <c r="AA462" i="1"/>
  <c r="AF462" i="1" s="1"/>
  <c r="AE462" i="1"/>
  <c r="AD312" i="1"/>
  <c r="AA312" i="1"/>
  <c r="AF312" i="1" s="1"/>
  <c r="AC312" i="1"/>
  <c r="AB312" i="1"/>
  <c r="Z312" i="1"/>
  <c r="AE312" i="1"/>
  <c r="AE328" i="1"/>
  <c r="AA328" i="1"/>
  <c r="AF328" i="1" s="1"/>
  <c r="AB328" i="1"/>
  <c r="AC328" i="1"/>
  <c r="Z328" i="1"/>
  <c r="AD328" i="1"/>
  <c r="AB334" i="1"/>
  <c r="AC334" i="1"/>
  <c r="AE334" i="1"/>
  <c r="AA334" i="1"/>
  <c r="AF334" i="1" s="1"/>
  <c r="AD334" i="1"/>
  <c r="Z334" i="1"/>
  <c r="AB124" i="1"/>
  <c r="AC124" i="1"/>
  <c r="AE124" i="1"/>
  <c r="AA124" i="1"/>
  <c r="AF124" i="1" s="1"/>
  <c r="Z124" i="1"/>
  <c r="AD124" i="1"/>
  <c r="AA174" i="1"/>
  <c r="AF174" i="1" s="1"/>
  <c r="AB174" i="1"/>
  <c r="Z174" i="1"/>
  <c r="AC174" i="1"/>
  <c r="AE174" i="1"/>
  <c r="AD174" i="1"/>
  <c r="AB471" i="1"/>
  <c r="AC471" i="1"/>
  <c r="AD471" i="1"/>
  <c r="Z471" i="1"/>
  <c r="AE471" i="1"/>
  <c r="AA471" i="1"/>
  <c r="AF471" i="1" s="1"/>
  <c r="Z6" i="1"/>
  <c r="AC6" i="1"/>
  <c r="AD6" i="1"/>
  <c r="AE6" i="1"/>
  <c r="AA6" i="1"/>
  <c r="AF6" i="1" s="1"/>
  <c r="AB6" i="1"/>
  <c r="AE186" i="1"/>
  <c r="AC186" i="1"/>
  <c r="Z186" i="1"/>
  <c r="AB186" i="1"/>
  <c r="AD186" i="1"/>
  <c r="AA186" i="1"/>
  <c r="AF186" i="1" s="1"/>
  <c r="AB419" i="1"/>
  <c r="AC419" i="1"/>
  <c r="Z419" i="1"/>
  <c r="AD419" i="1"/>
  <c r="AA419" i="1"/>
  <c r="AF419" i="1" s="1"/>
  <c r="AE419" i="1"/>
  <c r="AD311" i="1"/>
  <c r="Z311" i="1"/>
  <c r="AB311" i="1"/>
  <c r="AC311" i="1"/>
  <c r="AE311" i="1"/>
  <c r="AA311" i="1"/>
  <c r="AF311" i="1" s="1"/>
  <c r="Z257" i="1"/>
  <c r="AC257" i="1"/>
  <c r="AB257" i="1"/>
  <c r="AA257" i="1"/>
  <c r="AF257" i="1" s="1"/>
  <c r="AE257" i="1"/>
  <c r="AD257" i="1"/>
  <c r="AB113" i="1"/>
  <c r="Z113" i="1"/>
  <c r="AE113" i="1"/>
  <c r="AA113" i="1"/>
  <c r="AF113" i="1" s="1"/>
  <c r="AD113" i="1"/>
  <c r="AC113" i="1"/>
  <c r="AD347" i="1"/>
  <c r="AC347" i="1"/>
  <c r="AB347" i="1"/>
  <c r="AA347" i="1"/>
  <c r="AF347" i="1" s="1"/>
  <c r="AE347" i="1"/>
  <c r="Z347" i="1"/>
  <c r="AE344" i="1"/>
  <c r="AB344" i="1"/>
  <c r="AD344" i="1"/>
  <c r="AA344" i="1"/>
  <c r="AF344" i="1" s="1"/>
  <c r="AC344" i="1"/>
  <c r="Z344" i="1"/>
  <c r="AE234" i="1"/>
  <c r="AA234" i="1"/>
  <c r="AF234" i="1" s="1"/>
  <c r="AC234" i="1"/>
  <c r="AB234" i="1"/>
  <c r="AD234" i="1"/>
  <c r="Z234" i="1"/>
  <c r="AA308" i="1"/>
  <c r="AF308" i="1" s="1"/>
  <c r="AC308" i="1"/>
  <c r="AD308" i="1"/>
  <c r="Z308" i="1"/>
  <c r="AB308" i="1"/>
  <c r="AE308" i="1"/>
  <c r="AB680" i="1"/>
  <c r="AC680" i="1"/>
  <c r="Z680" i="1"/>
  <c r="AE680" i="1"/>
  <c r="AA680" i="1"/>
  <c r="AF680" i="1" s="1"/>
  <c r="AD680" i="1"/>
  <c r="AB379" i="1"/>
  <c r="AA379" i="1"/>
  <c r="AF379" i="1" s="1"/>
  <c r="AE379" i="1"/>
  <c r="AD379" i="1"/>
  <c r="AC379" i="1"/>
  <c r="Z379" i="1"/>
  <c r="AA12" i="1"/>
  <c r="AF12" i="1" s="1"/>
  <c r="AB12" i="1"/>
  <c r="AE12" i="1"/>
  <c r="AD12" i="1"/>
  <c r="Z12" i="1"/>
  <c r="AC12" i="1"/>
  <c r="AC501" i="1"/>
  <c r="AB501" i="1"/>
  <c r="AE501" i="1"/>
  <c r="AA501" i="1"/>
  <c r="AF501" i="1" s="1"/>
  <c r="Z501" i="1"/>
  <c r="AD501" i="1"/>
  <c r="AC56" i="1"/>
  <c r="AB56" i="1"/>
  <c r="Z56" i="1"/>
  <c r="AE56" i="1"/>
  <c r="AA56" i="1"/>
  <c r="AF56" i="1" s="1"/>
  <c r="AD56" i="1"/>
  <c r="AD794" i="1"/>
  <c r="Z794" i="1"/>
  <c r="AA794" i="1"/>
  <c r="AF794" i="1" s="1"/>
  <c r="AE794" i="1"/>
  <c r="AC794" i="1"/>
  <c r="AB794" i="1"/>
  <c r="AE752" i="1"/>
  <c r="Z752" i="1"/>
  <c r="AC752" i="1"/>
  <c r="AB752" i="1"/>
  <c r="AD752" i="1"/>
  <c r="AA752" i="1"/>
  <c r="AF752" i="1" s="1"/>
  <c r="AB725" i="1"/>
  <c r="AE725" i="1"/>
  <c r="AC725" i="1"/>
  <c r="AA725" i="1"/>
  <c r="AF725" i="1" s="1"/>
  <c r="AD725" i="1"/>
  <c r="Z725" i="1"/>
  <c r="AD166" i="1"/>
  <c r="AE166" i="1"/>
  <c r="AB166" i="1"/>
  <c r="AA166" i="1"/>
  <c r="AF166" i="1" s="1"/>
  <c r="Z166" i="1"/>
  <c r="AC166" i="1"/>
  <c r="AD145" i="1"/>
  <c r="Z145" i="1"/>
  <c r="AE145" i="1"/>
  <c r="AC145" i="1"/>
  <c r="AA145" i="1"/>
  <c r="AF145" i="1" s="1"/>
  <c r="AB145" i="1"/>
  <c r="Z615" i="1"/>
  <c r="AC615" i="1"/>
  <c r="AD615" i="1"/>
  <c r="AB615" i="1"/>
  <c r="AE615" i="1"/>
  <c r="AA615" i="1"/>
  <c r="AF615" i="1" s="1"/>
  <c r="AC111" i="1"/>
  <c r="AA111" i="1"/>
  <c r="AF111" i="1" s="1"/>
  <c r="AE111" i="1"/>
  <c r="Z111" i="1"/>
  <c r="AB111" i="1"/>
  <c r="AD111" i="1"/>
  <c r="AA628" i="1"/>
  <c r="AF628" i="1" s="1"/>
  <c r="AD628" i="1"/>
  <c r="AB628" i="1"/>
  <c r="AC628" i="1"/>
  <c r="Z628" i="1"/>
  <c r="AE628" i="1"/>
  <c r="AB612" i="1"/>
  <c r="Z612" i="1"/>
  <c r="AE612" i="1"/>
  <c r="AA612" i="1"/>
  <c r="AF612" i="1" s="1"/>
  <c r="AD612" i="1"/>
  <c r="AC612" i="1"/>
  <c r="AB705" i="1"/>
  <c r="AC705" i="1"/>
  <c r="Z705" i="1"/>
  <c r="AE705" i="1"/>
  <c r="AD705" i="1"/>
  <c r="AA705" i="1"/>
  <c r="AF705" i="1" s="1"/>
  <c r="AB484" i="1"/>
  <c r="Z484" i="1"/>
  <c r="AE484" i="1"/>
  <c r="AA484" i="1"/>
  <c r="AF484" i="1" s="1"/>
  <c r="AD484" i="1"/>
  <c r="AC484" i="1"/>
  <c r="AD136" i="1"/>
  <c r="AA136" i="1"/>
  <c r="AF136" i="1" s="1"/>
  <c r="AB136" i="1"/>
  <c r="Z136" i="1"/>
  <c r="AE136" i="1"/>
  <c r="AC136" i="1"/>
  <c r="AB310" i="1"/>
  <c r="AC310" i="1"/>
  <c r="AD310" i="1"/>
  <c r="AA310" i="1"/>
  <c r="AF310" i="1" s="1"/>
  <c r="Z310" i="1"/>
  <c r="AE310" i="1"/>
  <c r="AC395" i="1"/>
  <c r="AD395" i="1"/>
  <c r="AB395" i="1"/>
  <c r="Z395" i="1"/>
  <c r="AE395" i="1"/>
  <c r="AA395" i="1"/>
  <c r="AF395" i="1" s="1"/>
  <c r="AE572" i="1"/>
  <c r="Z572" i="1"/>
  <c r="AB572" i="1"/>
  <c r="AA572" i="1"/>
  <c r="AF572" i="1" s="1"/>
  <c r="AD572" i="1"/>
  <c r="AC572" i="1"/>
  <c r="AC453" i="1"/>
  <c r="AE453" i="1"/>
  <c r="Z453" i="1"/>
  <c r="AD453" i="1"/>
  <c r="AB453" i="1"/>
  <c r="AA453" i="1"/>
  <c r="AF453" i="1" s="1"/>
  <c r="AB260" i="1"/>
  <c r="AE260" i="1"/>
  <c r="AA260" i="1"/>
  <c r="AF260" i="1" s="1"/>
  <c r="AD260" i="1"/>
  <c r="Z260" i="1"/>
  <c r="AC260" i="1"/>
  <c r="Z338" i="1"/>
  <c r="AE338" i="1"/>
  <c r="AC338" i="1"/>
  <c r="AB338" i="1"/>
  <c r="AD338" i="1"/>
  <c r="AA338" i="1"/>
  <c r="AF338" i="1" s="1"/>
  <c r="Z691" i="1"/>
  <c r="AB691" i="1"/>
  <c r="AE691" i="1"/>
  <c r="AA691" i="1"/>
  <c r="AF691" i="1" s="1"/>
  <c r="AD691" i="1"/>
  <c r="AC691" i="1"/>
  <c r="Z49" i="1"/>
  <c r="AA49" i="1"/>
  <c r="AF49" i="1" s="1"/>
  <c r="AB49" i="1"/>
  <c r="AC49" i="1"/>
  <c r="AD49" i="1"/>
  <c r="AE49" i="1"/>
  <c r="Z758" i="1"/>
  <c r="AC758" i="1"/>
  <c r="AE758" i="1"/>
  <c r="AA758" i="1"/>
  <c r="AF758" i="1" s="1"/>
  <c r="AB758" i="1"/>
  <c r="AD758" i="1"/>
  <c r="Z205" i="1"/>
  <c r="AA205" i="1"/>
  <c r="AF205" i="1" s="1"/>
  <c r="AE205" i="1"/>
  <c r="AD205" i="1"/>
  <c r="AB205" i="1"/>
  <c r="AC205" i="1"/>
  <c r="AB497" i="1"/>
  <c r="AA497" i="1"/>
  <c r="AF497" i="1" s="1"/>
  <c r="Z497" i="1"/>
  <c r="AC497" i="1"/>
  <c r="AE497" i="1"/>
  <c r="AD497" i="1"/>
  <c r="AD641" i="1"/>
  <c r="AC641" i="1"/>
  <c r="AB641" i="1"/>
  <c r="AA641" i="1"/>
  <c r="AF641" i="1" s="1"/>
  <c r="Z641" i="1"/>
  <c r="AE641" i="1"/>
  <c r="AA520" i="1"/>
  <c r="AF520" i="1" s="1"/>
  <c r="AD520" i="1"/>
  <c r="AE520" i="1"/>
  <c r="Z520" i="1"/>
  <c r="AC520" i="1"/>
  <c r="AB520" i="1"/>
  <c r="Z787" i="1"/>
  <c r="AE787" i="1"/>
  <c r="AD787" i="1"/>
  <c r="AB787" i="1"/>
  <c r="AC787" i="1"/>
  <c r="AA787" i="1"/>
  <c r="AF787" i="1" s="1"/>
  <c r="AC375" i="1"/>
  <c r="AD375" i="1"/>
  <c r="AB375" i="1"/>
  <c r="AE375" i="1"/>
  <c r="AA375" i="1"/>
  <c r="AF375" i="1" s="1"/>
  <c r="Z375" i="1"/>
  <c r="AB366" i="1"/>
  <c r="Z366" i="1"/>
  <c r="AC366" i="1"/>
  <c r="Z780" i="1"/>
  <c r="AE780" i="1"/>
  <c r="AA780" i="1"/>
  <c r="AF780" i="1" s="1"/>
  <c r="AC780" i="1"/>
  <c r="AD780" i="1"/>
  <c r="AB780" i="1"/>
  <c r="AD463" i="1"/>
  <c r="Z463" i="1"/>
  <c r="AC463" i="1"/>
  <c r="AB463" i="1"/>
  <c r="AA463" i="1"/>
  <c r="AF463" i="1" s="1"/>
  <c r="AE463" i="1"/>
  <c r="AC153" i="1"/>
  <c r="AA153" i="1"/>
  <c r="AF153" i="1" s="1"/>
  <c r="AE153" i="1"/>
  <c r="AD153" i="1"/>
  <c r="AB153" i="1"/>
  <c r="Z153" i="1"/>
  <c r="AC549" i="1"/>
  <c r="Z549" i="1"/>
  <c r="AE549" i="1"/>
  <c r="AB549" i="1"/>
  <c r="AA549" i="1"/>
  <c r="AF549" i="1" s="1"/>
  <c r="AD549" i="1"/>
  <c r="AB183" i="1"/>
  <c r="AD183" i="1"/>
  <c r="Z183" i="1"/>
  <c r="AC183" i="1"/>
  <c r="AE183" i="1"/>
  <c r="AA183" i="1"/>
  <c r="AF183" i="1" s="1"/>
  <c r="AA400" i="1"/>
  <c r="AF400" i="1" s="1"/>
  <c r="AD400" i="1"/>
  <c r="AB400" i="1"/>
  <c r="Z400" i="1"/>
  <c r="AC400" i="1"/>
  <c r="AE400" i="1"/>
  <c r="AD509" i="1"/>
  <c r="AB509" i="1"/>
  <c r="AE509" i="1"/>
  <c r="Z509" i="1"/>
  <c r="AA509" i="1"/>
  <c r="AF509" i="1" s="1"/>
  <c r="AC509" i="1"/>
  <c r="AE346" i="1"/>
  <c r="AC346" i="1"/>
  <c r="AB346" i="1"/>
  <c r="Z346" i="1"/>
  <c r="AD346" i="1"/>
  <c r="AA346" i="1"/>
  <c r="AF346" i="1" s="1"/>
  <c r="Z412" i="1"/>
  <c r="AE412" i="1"/>
  <c r="AC412" i="1"/>
  <c r="AD412" i="1"/>
  <c r="AA412" i="1"/>
  <c r="AF412" i="1" s="1"/>
  <c r="AB412" i="1"/>
  <c r="AE318" i="1"/>
  <c r="AC318" i="1"/>
  <c r="Z318" i="1"/>
  <c r="AD318" i="1"/>
  <c r="AB318" i="1"/>
  <c r="AA318" i="1"/>
  <c r="AF318" i="1" s="1"/>
  <c r="AA243" i="1"/>
  <c r="AF243" i="1" s="1"/>
  <c r="Z243" i="1"/>
  <c r="AE243" i="1"/>
  <c r="AC243" i="1"/>
  <c r="AB243" i="1"/>
  <c r="AD243" i="1"/>
  <c r="AC685" i="1"/>
  <c r="Z685" i="1"/>
  <c r="AD685" i="1"/>
  <c r="AE685" i="1"/>
  <c r="AA685" i="1"/>
  <c r="AF685" i="1" s="1"/>
  <c r="AB685" i="1"/>
  <c r="AA457" i="1"/>
  <c r="AF457" i="1" s="1"/>
  <c r="AD457" i="1"/>
  <c r="Z457" i="1"/>
  <c r="AE457" i="1"/>
  <c r="AC457" i="1"/>
  <c r="AB457" i="1"/>
  <c r="AB232" i="1"/>
  <c r="Z232" i="1"/>
  <c r="AE232" i="1"/>
  <c r="AD232" i="1"/>
  <c r="AA232" i="1"/>
  <c r="AF232" i="1" s="1"/>
  <c r="AC232" i="1"/>
  <c r="AD795" i="1"/>
  <c r="AE795" i="1"/>
  <c r="AC795" i="1"/>
  <c r="Z795" i="1"/>
  <c r="AB795" i="1"/>
  <c r="AA795" i="1"/>
  <c r="AF795" i="1" s="1"/>
  <c r="AE526" i="1"/>
  <c r="AB526" i="1"/>
  <c r="AA526" i="1"/>
  <c r="AF526" i="1" s="1"/>
  <c r="AC526" i="1"/>
  <c r="Z526" i="1"/>
  <c r="AD526" i="1"/>
  <c r="AA791" i="1"/>
  <c r="AF791" i="1" s="1"/>
  <c r="AC791" i="1"/>
  <c r="AE791" i="1"/>
  <c r="AD791" i="1"/>
  <c r="AB791" i="1"/>
  <c r="Z791" i="1"/>
  <c r="AD708" i="1"/>
  <c r="AA708" i="1"/>
  <c r="AF708" i="1" s="1"/>
  <c r="AC708" i="1"/>
  <c r="AB708" i="1"/>
  <c r="AE708" i="1"/>
  <c r="Z708" i="1"/>
  <c r="AC247" i="1"/>
  <c r="AE247" i="1"/>
  <c r="AB247" i="1"/>
  <c r="AA247" i="1"/>
  <c r="AF247" i="1" s="1"/>
  <c r="Z247" i="1"/>
  <c r="AD247" i="1"/>
  <c r="Z640" i="1"/>
  <c r="AC640" i="1"/>
  <c r="AB640" i="1"/>
  <c r="AA640" i="1"/>
  <c r="AF640" i="1" s="1"/>
  <c r="AE640" i="1"/>
  <c r="AD640" i="1"/>
  <c r="AD416" i="1"/>
  <c r="AE416" i="1"/>
  <c r="AB416" i="1"/>
  <c r="Z416" i="1"/>
  <c r="AA416" i="1"/>
  <c r="AF416" i="1" s="1"/>
  <c r="AC416" i="1"/>
  <c r="AA244" i="1"/>
  <c r="AF244" i="1" s="1"/>
  <c r="AC244" i="1"/>
  <c r="AE244" i="1"/>
  <c r="AD244" i="1"/>
  <c r="AB244" i="1"/>
  <c r="Z244" i="1"/>
  <c r="AD178" i="1"/>
  <c r="AB178" i="1"/>
  <c r="AA178" i="1"/>
  <c r="AF178" i="1" s="1"/>
  <c r="AE178" i="1"/>
  <c r="AC178" i="1"/>
  <c r="Z178" i="1"/>
  <c r="AB35" i="1"/>
  <c r="Z35" i="1"/>
  <c r="AD35" i="1"/>
  <c r="AE35" i="1"/>
  <c r="AC35" i="1"/>
  <c r="AA35" i="1"/>
  <c r="AF35" i="1" s="1"/>
  <c r="AD269" i="1"/>
  <c r="AA269" i="1"/>
  <c r="AF269" i="1" s="1"/>
  <c r="AC269" i="1"/>
  <c r="Z269" i="1"/>
  <c r="AE269" i="1"/>
  <c r="AB269" i="1"/>
  <c r="AD220" i="1"/>
  <c r="AB220" i="1"/>
  <c r="AA220" i="1"/>
  <c r="AF220" i="1" s="1"/>
  <c r="Z220" i="1"/>
  <c r="AE220" i="1"/>
  <c r="AC220" i="1"/>
  <c r="AA424" i="1"/>
  <c r="AF424" i="1" s="1"/>
  <c r="AE424" i="1"/>
  <c r="AD424" i="1"/>
  <c r="AB424" i="1"/>
  <c r="AC424" i="1"/>
  <c r="Z424" i="1"/>
  <c r="AC533" i="1"/>
  <c r="AA533" i="1"/>
  <c r="AF533" i="1" s="1"/>
  <c r="Z533" i="1"/>
  <c r="AD533" i="1"/>
  <c r="AE533" i="1"/>
  <c r="AB533" i="1"/>
  <c r="AE601" i="1"/>
  <c r="AB601" i="1"/>
  <c r="AA601" i="1"/>
  <c r="AF601" i="1" s="1"/>
  <c r="AD601" i="1"/>
  <c r="AC601" i="1"/>
  <c r="Z601" i="1"/>
  <c r="AD438" i="1"/>
  <c r="AE438" i="1"/>
  <c r="AA438" i="1"/>
  <c r="AF438" i="1" s="1"/>
  <c r="AB438" i="1"/>
  <c r="Z438" i="1"/>
  <c r="AC438" i="1"/>
  <c r="AA700" i="1"/>
  <c r="AF700" i="1" s="1"/>
  <c r="Z700" i="1"/>
  <c r="AE700" i="1"/>
  <c r="AC700" i="1"/>
  <c r="AB700" i="1"/>
  <c r="AD700" i="1"/>
  <c r="AE754" i="1"/>
  <c r="AB754" i="1"/>
  <c r="Z754" i="1"/>
  <c r="AA754" i="1"/>
  <c r="AF754" i="1" s="1"/>
  <c r="AC754" i="1"/>
  <c r="AD754" i="1"/>
  <c r="AE201" i="1"/>
  <c r="AB201" i="1"/>
  <c r="AC201" i="1"/>
  <c r="AD201" i="1"/>
  <c r="AA201" i="1"/>
  <c r="AF201" i="1" s="1"/>
  <c r="Z201" i="1"/>
  <c r="AB273" i="1"/>
  <c r="AC273" i="1"/>
  <c r="AD273" i="1"/>
  <c r="Z273" i="1"/>
  <c r="AA273" i="1"/>
  <c r="AF273" i="1" s="1"/>
  <c r="AE273" i="1"/>
  <c r="AC651" i="1"/>
  <c r="Z651" i="1"/>
  <c r="AB651" i="1"/>
  <c r="AE651" i="1"/>
  <c r="AD651" i="1"/>
  <c r="AA651" i="1"/>
  <c r="AF651" i="1" s="1"/>
  <c r="Z624" i="1"/>
  <c r="AC624" i="1"/>
  <c r="AE624" i="1"/>
  <c r="AD624" i="1"/>
  <c r="AA624" i="1"/>
  <c r="AF624" i="1" s="1"/>
  <c r="AB624" i="1"/>
  <c r="AB428" i="1"/>
  <c r="Z428" i="1"/>
  <c r="AE428" i="1"/>
  <c r="AC428" i="1"/>
  <c r="AD428" i="1"/>
  <c r="AA428" i="1"/>
  <c r="AF428" i="1" s="1"/>
  <c r="AC326" i="1"/>
  <c r="Z326" i="1"/>
  <c r="AB326" i="1"/>
  <c r="AD326" i="1"/>
  <c r="AE326" i="1"/>
  <c r="AA326" i="1"/>
  <c r="AF326" i="1" s="1"/>
  <c r="Z633" i="1"/>
  <c r="AC633" i="1"/>
  <c r="AA633" i="1"/>
  <c r="AF633" i="1" s="1"/>
  <c r="AE633" i="1"/>
  <c r="AB633" i="1"/>
  <c r="AD633" i="1"/>
  <c r="AB99" i="1"/>
  <c r="Z99" i="1"/>
  <c r="AE99" i="1"/>
  <c r="AA99" i="1"/>
  <c r="AF99" i="1" s="1"/>
  <c r="AC99" i="1"/>
  <c r="AD99" i="1"/>
  <c r="AB567" i="1"/>
  <c r="AD567" i="1"/>
  <c r="AC567" i="1"/>
  <c r="AE567" i="1"/>
  <c r="AA567" i="1"/>
  <c r="AF567" i="1" s="1"/>
  <c r="Z567" i="1"/>
  <c r="Z477" i="1"/>
  <c r="AB477" i="1"/>
  <c r="AE477" i="1"/>
  <c r="AA477" i="1"/>
  <c r="AF477" i="1" s="1"/>
  <c r="AC477" i="1"/>
  <c r="AD477" i="1"/>
  <c r="AD449" i="1"/>
  <c r="AB449" i="1"/>
  <c r="AC449" i="1"/>
  <c r="AA449" i="1"/>
  <c r="AF449" i="1" s="1"/>
  <c r="Z449" i="1"/>
  <c r="AE449" i="1"/>
  <c r="AD565" i="1"/>
  <c r="Z565" i="1"/>
  <c r="AC565" i="1"/>
  <c r="AE565" i="1"/>
  <c r="AA565" i="1"/>
  <c r="AF565" i="1" s="1"/>
  <c r="AB565" i="1"/>
  <c r="AD512" i="1"/>
  <c r="AA512" i="1"/>
  <c r="AF512" i="1" s="1"/>
  <c r="AE512" i="1"/>
  <c r="AB512" i="1"/>
  <c r="AC512" i="1"/>
  <c r="Z512" i="1"/>
  <c r="Z30" i="1"/>
  <c r="AC30" i="1"/>
  <c r="AE30" i="1"/>
  <c r="AA30" i="1"/>
  <c r="AF30" i="1" s="1"/>
  <c r="AB30" i="1"/>
  <c r="AD30" i="1"/>
  <c r="AD82" i="1"/>
  <c r="AE82" i="1"/>
  <c r="Z82" i="1"/>
  <c r="AA82" i="1"/>
  <c r="AF82" i="1" s="1"/>
  <c r="AB82" i="1"/>
  <c r="AC82" i="1"/>
  <c r="AC73" i="1"/>
  <c r="Z73" i="1"/>
  <c r="AB73" i="1"/>
  <c r="AA73" i="1"/>
  <c r="AF73" i="1" s="1"/>
  <c r="AD73" i="1"/>
  <c r="AE73" i="1"/>
  <c r="AE256" i="1"/>
  <c r="AC256" i="1"/>
  <c r="Z256" i="1"/>
  <c r="AD256" i="1"/>
  <c r="AB256" i="1"/>
  <c r="AA256" i="1"/>
  <c r="AF256" i="1" s="1"/>
  <c r="Z790" i="1"/>
  <c r="AE790" i="1"/>
  <c r="AC790" i="1"/>
  <c r="AB790" i="1"/>
  <c r="AA790" i="1"/>
  <c r="AF790" i="1" s="1"/>
  <c r="AD790" i="1"/>
  <c r="AD301" i="1"/>
  <c r="AB301" i="1"/>
  <c r="AA301" i="1"/>
  <c r="AF301" i="1" s="1"/>
  <c r="AE301" i="1"/>
  <c r="AC301" i="1"/>
  <c r="Z301" i="1"/>
  <c r="AA10" i="1"/>
  <c r="AF10" i="1" s="1"/>
  <c r="AD10" i="1"/>
  <c r="AC10" i="1"/>
  <c r="AB10" i="1"/>
  <c r="Z10" i="1"/>
  <c r="AE10" i="1"/>
  <c r="Z142" i="1"/>
  <c r="AD142" i="1"/>
  <c r="AC142" i="1"/>
  <c r="AE142" i="1"/>
  <c r="AB142" i="1"/>
  <c r="AA142" i="1"/>
  <c r="AF142" i="1" s="1"/>
  <c r="AA280" i="1"/>
  <c r="AF280" i="1" s="1"/>
  <c r="AC280" i="1"/>
  <c r="AD280" i="1"/>
  <c r="AE280" i="1"/>
  <c r="Z280" i="1"/>
  <c r="AB280" i="1"/>
  <c r="AA436" i="1"/>
  <c r="AF436" i="1" s="1"/>
  <c r="AC436" i="1"/>
  <c r="AB436" i="1"/>
  <c r="AE436" i="1"/>
  <c r="AD436" i="1"/>
  <c r="Z436" i="1"/>
  <c r="AC789" i="1"/>
  <c r="AD789" i="1"/>
  <c r="AB789" i="1"/>
  <c r="AA789" i="1"/>
  <c r="AF789" i="1" s="1"/>
  <c r="AE789" i="1"/>
  <c r="Z789" i="1"/>
  <c r="Z169" i="1"/>
  <c r="AE169" i="1"/>
  <c r="AC169" i="1"/>
  <c r="AA169" i="1"/>
  <c r="AF169" i="1" s="1"/>
  <c r="AB169" i="1"/>
  <c r="AD169" i="1"/>
  <c r="AA351" i="1"/>
  <c r="AF351" i="1" s="1"/>
  <c r="Z351" i="1"/>
  <c r="AB351" i="1"/>
  <c r="AD351" i="1"/>
  <c r="AC351" i="1"/>
  <c r="AE351" i="1"/>
  <c r="AE180" i="1"/>
  <c r="Z180" i="1"/>
  <c r="AD180" i="1"/>
  <c r="AA180" i="1"/>
  <c r="AF180" i="1" s="1"/>
  <c r="AC180" i="1"/>
  <c r="AB180" i="1"/>
  <c r="AD771" i="1"/>
  <c r="AC771" i="1"/>
  <c r="Z771" i="1"/>
  <c r="AB771" i="1"/>
  <c r="AE771" i="1"/>
  <c r="AA771" i="1"/>
  <c r="AF771" i="1" s="1"/>
  <c r="AC441" i="1"/>
  <c r="AA441" i="1"/>
  <c r="AF441" i="1" s="1"/>
  <c r="AE441" i="1"/>
  <c r="AB441" i="1"/>
  <c r="AD441" i="1"/>
  <c r="Z441" i="1"/>
  <c r="Z278" i="1"/>
  <c r="AA278" i="1"/>
  <c r="AF278" i="1" s="1"/>
  <c r="AD278" i="1"/>
  <c r="AB278" i="1"/>
  <c r="AE278" i="1"/>
  <c r="AC278" i="1"/>
  <c r="AA249" i="1"/>
  <c r="AF249" i="1" s="1"/>
  <c r="AB249" i="1"/>
  <c r="AC249" i="1"/>
  <c r="AE249" i="1"/>
  <c r="AD249" i="1"/>
  <c r="Z249" i="1"/>
  <c r="AA473" i="1"/>
  <c r="AF473" i="1" s="1"/>
  <c r="Z473" i="1"/>
  <c r="AB473" i="1"/>
  <c r="AD473" i="1"/>
  <c r="AE473" i="1"/>
  <c r="AC473" i="1"/>
  <c r="AB266" i="1"/>
  <c r="AA266" i="1"/>
  <c r="AF266" i="1" s="1"/>
  <c r="Z266" i="1"/>
  <c r="AD266" i="1"/>
  <c r="AC266" i="1"/>
  <c r="AE266" i="1"/>
  <c r="AC237" i="1"/>
  <c r="AD237" i="1"/>
  <c r="AB237" i="1"/>
  <c r="AA237" i="1"/>
  <c r="AF237" i="1" s="1"/>
  <c r="Z237" i="1"/>
  <c r="AE237" i="1"/>
  <c r="AE348" i="1"/>
  <c r="AA348" i="1"/>
  <c r="AF348" i="1" s="1"/>
  <c r="AB348" i="1"/>
  <c r="Z348" i="1"/>
  <c r="AC348" i="1"/>
  <c r="AD348" i="1"/>
  <c r="AA569" i="1"/>
  <c r="AF569" i="1" s="1"/>
  <c r="AD569" i="1"/>
  <c r="Z569" i="1"/>
  <c r="AE569" i="1"/>
  <c r="AB569" i="1"/>
  <c r="AC569" i="1"/>
  <c r="AA160" i="1"/>
  <c r="AF160" i="1" s="1"/>
  <c r="Z160" i="1"/>
  <c r="AE160" i="1"/>
  <c r="AD160" i="1"/>
  <c r="AC160" i="1"/>
  <c r="AB160" i="1"/>
  <c r="AC407" i="1"/>
  <c r="Z407" i="1"/>
  <c r="AD407" i="1"/>
  <c r="AE407" i="1"/>
  <c r="AB407" i="1"/>
  <c r="AA407" i="1"/>
  <c r="AF407" i="1" s="1"/>
  <c r="AD254" i="1"/>
  <c r="Z254" i="1"/>
  <c r="AA254" i="1"/>
  <c r="AF254" i="1" s="1"/>
  <c r="AC254" i="1"/>
  <c r="AE254" i="1"/>
  <c r="AB254" i="1"/>
  <c r="AC188" i="1"/>
  <c r="AA188" i="1"/>
  <c r="AF188" i="1" s="1"/>
  <c r="Z188" i="1"/>
  <c r="AB188" i="1"/>
  <c r="AD188" i="1"/>
  <c r="AE188" i="1"/>
  <c r="AC84" i="1"/>
  <c r="AD84" i="1"/>
  <c r="AA84" i="1"/>
  <c r="AF84" i="1" s="1"/>
  <c r="AB84" i="1"/>
  <c r="Z84" i="1"/>
  <c r="AE84" i="1"/>
  <c r="AD262" i="1"/>
  <c r="AB262" i="1"/>
  <c r="AC262" i="1"/>
  <c r="AA262" i="1"/>
  <c r="AF262" i="1" s="1"/>
  <c r="Z262" i="1"/>
  <c r="AE262" i="1"/>
  <c r="Z114" i="1"/>
  <c r="AC114" i="1"/>
  <c r="AA114" i="1"/>
  <c r="AF114" i="1" s="1"/>
  <c r="AB114" i="1"/>
  <c r="AD114" i="1"/>
  <c r="AE114" i="1"/>
  <c r="AD524" i="1"/>
  <c r="AA524" i="1"/>
  <c r="AF524" i="1" s="1"/>
  <c r="AC524" i="1"/>
  <c r="AE524" i="1"/>
  <c r="AB524" i="1"/>
  <c r="Z524" i="1"/>
  <c r="AC458" i="1"/>
  <c r="AB458" i="1"/>
  <c r="AA458" i="1"/>
  <c r="AF458" i="1" s="1"/>
  <c r="AD458" i="1"/>
  <c r="Z458" i="1"/>
  <c r="AE458" i="1"/>
  <c r="AD590" i="1"/>
  <c r="AE590" i="1"/>
  <c r="Z590" i="1"/>
  <c r="AB590" i="1"/>
  <c r="AC590" i="1"/>
  <c r="AA590" i="1"/>
  <c r="AF590" i="1" s="1"/>
  <c r="AC716" i="1"/>
  <c r="AB716" i="1"/>
  <c r="AD716" i="1"/>
  <c r="Z716" i="1"/>
  <c r="AE716" i="1"/>
  <c r="AA716" i="1"/>
  <c r="AF716" i="1" s="1"/>
  <c r="AB562" i="1"/>
  <c r="AC562" i="1"/>
  <c r="AD562" i="1"/>
  <c r="Z562" i="1"/>
  <c r="AA562" i="1"/>
  <c r="AF562" i="1" s="1"/>
  <c r="AE562" i="1"/>
  <c r="AE586" i="1"/>
  <c r="AD586" i="1"/>
  <c r="Z586" i="1"/>
  <c r="AB586" i="1"/>
  <c r="AA586" i="1"/>
  <c r="AF586" i="1" s="1"/>
  <c r="AC586" i="1"/>
  <c r="AE579" i="1"/>
  <c r="AB579" i="1"/>
  <c r="AA579" i="1"/>
  <c r="AF579" i="1" s="1"/>
  <c r="Z579" i="1"/>
  <c r="AC579" i="1"/>
  <c r="AD579" i="1"/>
  <c r="AA151" i="1"/>
  <c r="AF151" i="1" s="1"/>
  <c r="Z151" i="1"/>
  <c r="AB151" i="1"/>
  <c r="AC151" i="1"/>
  <c r="AD151" i="1"/>
  <c r="AE151" i="1"/>
  <c r="Z66" i="1"/>
  <c r="AD66" i="1"/>
  <c r="AC66" i="1"/>
  <c r="AA66" i="1"/>
  <c r="AF66" i="1" s="1"/>
  <c r="AE66" i="1"/>
  <c r="AB66" i="1"/>
  <c r="AE2" i="1"/>
  <c r="AD2" i="1"/>
  <c r="AB2" i="1"/>
  <c r="AC2" i="1"/>
  <c r="F8" i="1"/>
  <c r="Z2" i="1"/>
  <c r="AA2" i="1"/>
  <c r="AF2" i="1" s="1"/>
  <c r="AB349" i="1"/>
  <c r="AA349" i="1"/>
  <c r="AF349" i="1" s="1"/>
  <c r="AD349" i="1"/>
  <c r="Z349" i="1"/>
  <c r="AE349" i="1"/>
  <c r="AC349" i="1"/>
  <c r="Z744" i="1"/>
  <c r="AC744" i="1"/>
  <c r="AB744" i="1"/>
  <c r="AD744" i="1"/>
  <c r="AA744" i="1"/>
  <c r="AF744" i="1" s="1"/>
  <c r="AE744" i="1"/>
  <c r="AA133" i="1"/>
  <c r="AF133" i="1" s="1"/>
  <c r="AE133" i="1"/>
  <c r="AD133" i="1"/>
  <c r="AB133" i="1"/>
  <c r="AC133" i="1"/>
  <c r="Z133" i="1"/>
  <c r="AC129" i="1"/>
  <c r="Z129" i="1"/>
  <c r="AD129" i="1"/>
  <c r="AB129" i="1"/>
  <c r="AE129" i="1"/>
  <c r="AA129" i="1"/>
  <c r="AF129" i="1" s="1"/>
  <c r="AC800" i="1"/>
  <c r="AA800" i="1"/>
  <c r="AF800" i="1" s="1"/>
  <c r="AE800" i="1"/>
  <c r="AD800" i="1"/>
  <c r="AB800" i="1"/>
  <c r="Z800" i="1"/>
  <c r="AB7" i="1"/>
  <c r="AE7" i="1"/>
  <c r="AD7" i="1"/>
  <c r="Z7" i="1"/>
  <c r="AC7" i="1"/>
  <c r="AA7" i="1"/>
  <c r="AF7" i="1" s="1"/>
  <c r="AD190" i="1"/>
  <c r="AC190" i="1"/>
  <c r="AA190" i="1"/>
  <c r="AF190" i="1" s="1"/>
  <c r="Z190" i="1"/>
  <c r="AE190" i="1"/>
  <c r="AB190" i="1"/>
  <c r="AB646" i="1"/>
  <c r="AD646" i="1"/>
  <c r="Z646" i="1"/>
  <c r="AC646" i="1"/>
  <c r="AE646" i="1"/>
  <c r="AA646" i="1"/>
  <c r="AF646" i="1" s="1"/>
  <c r="AD617" i="1"/>
  <c r="AC617" i="1"/>
  <c r="AB617" i="1"/>
  <c r="AE617" i="1"/>
  <c r="Z617" i="1"/>
  <c r="AA617" i="1"/>
  <c r="AF617" i="1" s="1"/>
  <c r="AC268" i="1"/>
  <c r="AB268" i="1"/>
  <c r="AD268" i="1"/>
  <c r="Z268" i="1"/>
  <c r="AE268" i="1"/>
  <c r="AA268" i="1"/>
  <c r="AF268" i="1" s="1"/>
  <c r="AD597" i="1"/>
  <c r="AB597" i="1"/>
  <c r="AE597" i="1"/>
  <c r="AC597" i="1"/>
  <c r="AA597" i="1"/>
  <c r="AF597" i="1" s="1"/>
  <c r="Z597" i="1"/>
  <c r="AA23" i="1"/>
  <c r="AF23" i="1" s="1"/>
  <c r="AD23" i="1"/>
  <c r="Z23" i="1"/>
  <c r="AE23" i="1"/>
  <c r="AB23" i="1"/>
  <c r="AC23" i="1"/>
  <c r="AA300" i="1"/>
  <c r="AF300" i="1" s="1"/>
  <c r="AE300" i="1"/>
  <c r="AC300" i="1"/>
  <c r="AB300" i="1"/>
  <c r="Z300" i="1"/>
  <c r="AD300" i="1"/>
  <c r="AB632" i="1"/>
  <c r="AC632" i="1"/>
  <c r="AE632" i="1"/>
  <c r="AA632" i="1"/>
  <c r="AF632" i="1" s="1"/>
  <c r="AD632" i="1"/>
  <c r="Z632" i="1"/>
  <c r="AA341" i="1"/>
  <c r="AF341" i="1" s="1"/>
  <c r="Z341" i="1"/>
  <c r="AE341" i="1"/>
  <c r="AB341" i="1"/>
  <c r="AC341" i="1"/>
  <c r="AD341" i="1"/>
  <c r="AC274" i="1"/>
  <c r="AD274" i="1"/>
  <c r="AB274" i="1"/>
  <c r="AA274" i="1"/>
  <c r="AF274" i="1" s="1"/>
  <c r="AE274" i="1"/>
  <c r="Z274" i="1"/>
  <c r="AC554" i="1"/>
  <c r="AE554" i="1"/>
  <c r="AA554" i="1"/>
  <c r="AF554" i="1" s="1"/>
  <c r="AD554" i="1"/>
  <c r="AB554" i="1"/>
  <c r="Z554" i="1"/>
  <c r="AB159" i="1"/>
  <c r="AC159" i="1"/>
  <c r="AE159" i="1"/>
  <c r="AA159" i="1"/>
  <c r="AF159" i="1" s="1"/>
  <c r="Z159" i="1"/>
  <c r="AD159" i="1"/>
  <c r="AE322" i="1"/>
  <c r="AB322" i="1"/>
  <c r="AA322" i="1"/>
  <c r="AF322" i="1" s="1"/>
  <c r="Z322" i="1"/>
  <c r="AD322" i="1"/>
  <c r="AC322" i="1"/>
  <c r="AC117" i="1"/>
  <c r="AB117" i="1"/>
  <c r="AE117" i="1"/>
  <c r="AD117" i="1"/>
  <c r="Z117" i="1"/>
  <c r="AA117" i="1"/>
  <c r="AF117" i="1" s="1"/>
  <c r="AC619" i="1"/>
  <c r="AD619" i="1"/>
  <c r="AE619" i="1"/>
  <c r="Z619" i="1"/>
  <c r="AB619" i="1"/>
  <c r="AA619" i="1"/>
  <c r="AF619" i="1" s="1"/>
  <c r="Z296" i="1"/>
  <c r="AD296" i="1"/>
  <c r="AA296" i="1"/>
  <c r="AF296" i="1" s="1"/>
  <c r="AB296" i="1"/>
  <c r="AE296" i="1"/>
  <c r="AC296" i="1"/>
  <c r="AB361" i="1"/>
  <c r="AE361" i="1"/>
  <c r="AA361" i="1"/>
  <c r="AF361" i="1" s="1"/>
  <c r="AC361" i="1"/>
  <c r="Z361" i="1"/>
  <c r="AD361" i="1"/>
  <c r="AC69" i="1"/>
  <c r="AA69" i="1"/>
  <c r="AF69" i="1" s="1"/>
  <c r="AE69" i="1"/>
  <c r="AD69" i="1"/>
  <c r="AB69" i="1"/>
  <c r="Z69" i="1"/>
  <c r="AD431" i="1"/>
  <c r="AB431" i="1"/>
  <c r="Z431" i="1"/>
  <c r="AA431" i="1"/>
  <c r="AF431" i="1" s="1"/>
  <c r="AE431" i="1"/>
  <c r="AC431" i="1"/>
  <c r="AC684" i="1"/>
  <c r="AB684" i="1"/>
  <c r="Z684" i="1"/>
  <c r="AA684" i="1"/>
  <c r="AF684" i="1" s="1"/>
  <c r="AD684" i="1"/>
  <c r="AE684" i="1"/>
  <c r="AB448" i="1"/>
  <c r="AD448" i="1"/>
  <c r="AE448" i="1"/>
  <c r="Z448" i="1"/>
  <c r="AA448" i="1"/>
  <c r="AF448" i="1" s="1"/>
  <c r="AC448" i="1"/>
  <c r="AC568" i="1"/>
  <c r="AB568" i="1"/>
  <c r="AE568" i="1"/>
  <c r="AA568" i="1"/>
  <c r="AF568" i="1" s="1"/>
  <c r="AD568" i="1"/>
  <c r="Z568" i="1"/>
  <c r="AB583" i="1"/>
  <c r="AA583" i="1"/>
  <c r="AF583" i="1" s="1"/>
  <c r="Z583" i="1"/>
  <c r="AD583" i="1"/>
  <c r="AE583" i="1"/>
  <c r="AC583" i="1"/>
  <c r="AB65" i="1"/>
  <c r="AE65" i="1"/>
  <c r="AD65" i="1"/>
  <c r="Z65" i="1"/>
  <c r="AC65" i="1"/>
  <c r="AA65" i="1"/>
  <c r="AF65" i="1" s="1"/>
  <c r="AD442" i="1"/>
  <c r="AE442" i="1"/>
  <c r="AA442" i="1"/>
  <c r="AF442" i="1" s="1"/>
  <c r="AB442" i="1"/>
  <c r="Z442" i="1"/>
  <c r="AC442" i="1"/>
  <c r="AE478" i="1"/>
  <c r="Z478" i="1"/>
  <c r="AB478" i="1"/>
  <c r="AD478" i="1"/>
  <c r="AC478" i="1"/>
  <c r="AA478" i="1"/>
  <c r="AF478" i="1" s="1"/>
  <c r="AD703" i="1"/>
  <c r="AA703" i="1"/>
  <c r="AF703" i="1" s="1"/>
  <c r="AE703" i="1"/>
  <c r="AB703" i="1"/>
  <c r="AC703" i="1"/>
  <c r="Z703" i="1"/>
  <c r="AE287" i="1"/>
  <c r="AA287" i="1"/>
  <c r="AF287" i="1" s="1"/>
  <c r="AB287" i="1"/>
  <c r="AD287" i="1"/>
  <c r="Z287" i="1"/>
  <c r="AC287" i="1"/>
  <c r="Z618" i="1"/>
  <c r="AD618" i="1"/>
  <c r="AA618" i="1"/>
  <c r="AF618" i="1" s="1"/>
  <c r="AC618" i="1"/>
  <c r="AE618" i="1"/>
  <c r="AB618" i="1"/>
  <c r="AB542" i="1"/>
  <c r="AC542" i="1"/>
  <c r="AD542" i="1"/>
  <c r="AE542" i="1"/>
  <c r="Z542" i="1"/>
  <c r="AA542" i="1"/>
  <c r="AF542" i="1" s="1"/>
  <c r="AB468" i="1"/>
  <c r="AC468" i="1"/>
  <c r="AD468" i="1"/>
  <c r="AA468" i="1"/>
  <c r="AF468" i="1" s="1"/>
  <c r="Z468" i="1"/>
  <c r="AE468" i="1"/>
  <c r="AE24" i="1"/>
  <c r="AB24" i="1"/>
  <c r="AC24" i="1"/>
  <c r="Z24" i="1"/>
  <c r="AA24" i="1"/>
  <c r="AF24" i="1" s="1"/>
  <c r="AD24" i="1"/>
  <c r="AC229" i="1"/>
  <c r="Z229" i="1"/>
  <c r="AE229" i="1"/>
  <c r="AB229" i="1"/>
  <c r="AD229" i="1"/>
  <c r="AA229" i="1"/>
  <c r="AF229" i="1" s="1"/>
  <c r="Z164" i="1"/>
  <c r="AC164" i="1"/>
  <c r="AA164" i="1"/>
  <c r="AF164" i="1" s="1"/>
  <c r="AE164" i="1"/>
  <c r="AB164" i="1"/>
  <c r="AD164" i="1"/>
  <c r="Z377" i="1"/>
  <c r="AB377" i="1"/>
  <c r="AA377" i="1"/>
  <c r="AF377" i="1" s="1"/>
  <c r="AC377" i="1"/>
  <c r="AD377" i="1"/>
  <c r="AE377" i="1"/>
  <c r="AB265" i="1"/>
  <c r="Z265" i="1"/>
  <c r="AA265" i="1"/>
  <c r="AF265" i="1" s="1"/>
  <c r="AE265" i="1"/>
  <c r="AC265" i="1"/>
  <c r="AD265" i="1"/>
  <c r="AC185" i="1"/>
  <c r="AB185" i="1"/>
  <c r="Z185" i="1"/>
  <c r="AA185" i="1"/>
  <c r="AF185" i="1" s="1"/>
  <c r="AD185" i="1"/>
  <c r="AE185" i="1"/>
  <c r="AD236" i="1"/>
  <c r="AB236" i="1"/>
  <c r="AA236" i="1"/>
  <c r="AF236" i="1" s="1"/>
  <c r="AC236" i="1"/>
  <c r="Z236" i="1"/>
  <c r="AE236" i="1"/>
  <c r="Z380" i="1"/>
  <c r="AA380" i="1"/>
  <c r="AF380" i="1" s="1"/>
  <c r="AC380" i="1"/>
  <c r="AB380" i="1"/>
  <c r="AD380" i="1"/>
  <c r="AE380" i="1"/>
  <c r="AE702" i="1"/>
  <c r="AB702" i="1"/>
  <c r="AA702" i="1"/>
  <c r="AF702" i="1" s="1"/>
  <c r="Z702" i="1"/>
  <c r="AC702" i="1"/>
  <c r="AD702" i="1"/>
  <c r="Z432" i="1"/>
  <c r="AC432" i="1"/>
  <c r="AE432" i="1"/>
  <c r="AA432" i="1"/>
  <c r="AF432" i="1" s="1"/>
  <c r="AD432" i="1"/>
  <c r="AB432" i="1"/>
  <c r="Z506" i="1"/>
  <c r="AB506" i="1"/>
  <c r="AC506" i="1"/>
  <c r="AE506" i="1"/>
  <c r="AA506" i="1"/>
  <c r="AF506" i="1" s="1"/>
  <c r="AD506" i="1"/>
  <c r="AD158" i="1"/>
  <c r="AA158" i="1"/>
  <c r="AF158" i="1" s="1"/>
  <c r="Z158" i="1"/>
  <c r="AB158" i="1"/>
  <c r="AC158" i="1"/>
  <c r="AE158" i="1"/>
  <c r="AC208" i="1"/>
  <c r="Z208" i="1"/>
  <c r="AA208" i="1"/>
  <c r="AF208" i="1" s="1"/>
  <c r="AD208" i="1"/>
  <c r="AE208" i="1"/>
  <c r="AB208" i="1"/>
  <c r="AC390" i="1"/>
  <c r="AA390" i="1"/>
  <c r="AF390" i="1" s="1"/>
  <c r="AD390" i="1"/>
  <c r="AB390" i="1"/>
  <c r="Z390" i="1"/>
  <c r="AE390" i="1"/>
  <c r="AE251" i="1"/>
  <c r="Z251" i="1"/>
  <c r="AA251" i="1"/>
  <c r="AF251" i="1" s="1"/>
  <c r="AB251" i="1"/>
  <c r="AD251" i="1"/>
  <c r="AC251" i="1"/>
  <c r="AC584" i="1"/>
  <c r="AA584" i="1"/>
  <c r="AF584" i="1" s="1"/>
  <c r="AB584" i="1"/>
  <c r="Z584" i="1"/>
  <c r="AE584" i="1"/>
  <c r="AD584" i="1"/>
  <c r="AB255" i="1"/>
  <c r="Z255" i="1"/>
  <c r="AD255" i="1"/>
  <c r="AC255" i="1"/>
  <c r="AE255" i="1"/>
  <c r="AA255" i="1"/>
  <c r="AF255" i="1" s="1"/>
  <c r="AD706" i="1"/>
  <c r="AA706" i="1"/>
  <c r="AF706" i="1" s="1"/>
  <c r="AB706" i="1"/>
  <c r="AE706" i="1"/>
  <c r="Z706" i="1"/>
  <c r="AC706" i="1"/>
  <c r="AE44" i="1"/>
  <c r="Z44" i="1"/>
  <c r="AA44" i="1"/>
  <c r="AF44" i="1" s="1"/>
  <c r="AC44" i="1"/>
  <c r="AD44" i="1"/>
  <c r="AB44" i="1"/>
  <c r="AB637" i="1"/>
  <c r="Z637" i="1"/>
  <c r="AD637" i="1"/>
  <c r="AC637" i="1"/>
  <c r="AA637" i="1"/>
  <c r="AF637" i="1" s="1"/>
  <c r="AE637" i="1"/>
  <c r="AD516" i="1"/>
  <c r="AE516" i="1"/>
  <c r="AC516" i="1"/>
  <c r="AA516" i="1"/>
  <c r="AF516" i="1" s="1"/>
  <c r="Z516" i="1"/>
  <c r="AB516" i="1"/>
  <c r="AE79" i="1"/>
  <c r="Z79" i="1"/>
  <c r="AB79" i="1"/>
  <c r="AD79" i="1"/>
  <c r="AC79" i="1"/>
  <c r="AA79" i="1"/>
  <c r="AF79" i="1" s="1"/>
  <c r="AC382" i="1"/>
  <c r="AB382" i="1"/>
  <c r="AE382" i="1"/>
  <c r="Z382" i="1"/>
  <c r="AA382" i="1"/>
  <c r="AF382" i="1" s="1"/>
  <c r="AD382" i="1"/>
  <c r="AC649" i="1"/>
  <c r="AB649" i="1"/>
  <c r="AE649" i="1"/>
  <c r="AA649" i="1"/>
  <c r="AF649" i="1" s="1"/>
  <c r="AD649" i="1"/>
  <c r="Z649" i="1"/>
  <c r="AB433" i="1"/>
  <c r="AD433" i="1"/>
  <c r="AE433" i="1"/>
  <c r="AA433" i="1"/>
  <c r="AF433" i="1" s="1"/>
  <c r="AC433" i="1"/>
  <c r="Z433" i="1"/>
  <c r="AE131" i="1"/>
  <c r="AC131" i="1"/>
  <c r="AD131" i="1"/>
  <c r="Z131" i="1"/>
  <c r="AB131" i="1"/>
  <c r="AA131" i="1"/>
  <c r="AF131" i="1" s="1"/>
  <c r="AA653" i="1"/>
  <c r="AF653" i="1" s="1"/>
  <c r="AE653" i="1"/>
  <c r="Z653" i="1"/>
  <c r="AB653" i="1"/>
  <c r="AC653" i="1"/>
  <c r="AD653" i="1"/>
  <c r="AA692" i="1"/>
  <c r="AF692" i="1" s="1"/>
  <c r="AE692" i="1"/>
  <c r="Z692" i="1"/>
  <c r="AD692" i="1"/>
  <c r="AC692" i="1"/>
  <c r="AB692" i="1"/>
  <c r="AA175" i="1"/>
  <c r="AF175" i="1" s="1"/>
  <c r="AE175" i="1"/>
  <c r="AB175" i="1"/>
  <c r="Z175" i="1"/>
  <c r="AD175" i="1"/>
  <c r="AC175" i="1"/>
  <c r="AD8" i="1"/>
  <c r="AB8" i="1"/>
  <c r="AE8" i="1"/>
  <c r="Z8" i="1"/>
  <c r="AC8" i="1"/>
  <c r="AA8" i="1"/>
  <c r="AF8" i="1" s="1"/>
  <c r="Z505" i="1"/>
  <c r="AD505" i="1"/>
  <c r="AA505" i="1"/>
  <c r="AF505" i="1" s="1"/>
  <c r="AC505" i="1"/>
  <c r="AE505" i="1"/>
  <c r="AB505" i="1"/>
  <c r="Z173" i="1"/>
  <c r="AC173" i="1"/>
  <c r="AD173" i="1"/>
  <c r="AB173" i="1"/>
  <c r="AE173" i="1"/>
  <c r="AA173" i="1"/>
  <c r="AF173" i="1" s="1"/>
  <c r="Z167" i="1"/>
  <c r="AC167" i="1"/>
  <c r="AE167" i="1"/>
  <c r="AA167" i="1"/>
  <c r="AF167" i="1" s="1"/>
  <c r="AB167" i="1"/>
  <c r="AD167" i="1"/>
  <c r="AA171" i="1"/>
  <c r="AF171" i="1" s="1"/>
  <c r="AD171" i="1"/>
  <c r="Z171" i="1"/>
  <c r="AC171" i="1"/>
  <c r="AB171" i="1"/>
  <c r="AE171" i="1"/>
  <c r="AA776" i="1"/>
  <c r="AF776" i="1" s="1"/>
  <c r="AB776" i="1"/>
  <c r="AD776" i="1"/>
  <c r="Z776" i="1"/>
  <c r="AC776" i="1"/>
  <c r="AE776" i="1"/>
  <c r="AC219" i="1"/>
  <c r="AA219" i="1"/>
  <c r="AF219" i="1" s="1"/>
  <c r="AB219" i="1"/>
  <c r="Z219" i="1"/>
  <c r="AD219" i="1"/>
  <c r="AE219" i="1"/>
  <c r="AD647" i="1"/>
  <c r="AA647" i="1"/>
  <c r="AF647" i="1" s="1"/>
  <c r="AB647" i="1"/>
  <c r="AC647" i="1"/>
  <c r="AE647" i="1"/>
  <c r="Z647" i="1"/>
  <c r="AD80" i="1"/>
  <c r="Z80" i="1"/>
  <c r="AE80" i="1"/>
  <c r="AC80" i="1"/>
  <c r="AA80" i="1"/>
  <c r="AF80" i="1" s="1"/>
  <c r="AB80" i="1"/>
  <c r="AB475" i="1"/>
  <c r="AE475" i="1"/>
  <c r="Z475" i="1"/>
  <c r="AA475" i="1"/>
  <c r="AF475" i="1" s="1"/>
  <c r="AC475" i="1"/>
  <c r="AD475" i="1"/>
  <c r="AD307" i="1"/>
  <c r="AA307" i="1"/>
  <c r="AF307" i="1" s="1"/>
  <c r="AB307" i="1"/>
  <c r="AC307" i="1"/>
  <c r="AE307" i="1"/>
  <c r="Z307" i="1"/>
  <c r="AD392" i="1"/>
  <c r="AA392" i="1"/>
  <c r="AF392" i="1" s="1"/>
  <c r="AE392" i="1"/>
  <c r="AB392" i="1"/>
  <c r="Z392" i="1"/>
  <c r="AC392" i="1"/>
  <c r="AC76" i="1"/>
  <c r="AD76" i="1"/>
  <c r="AA76" i="1"/>
  <c r="AF76" i="1" s="1"/>
  <c r="Z76" i="1"/>
  <c r="AE76" i="1"/>
  <c r="AB76" i="1"/>
  <c r="AE58" i="1"/>
  <c r="Z58" i="1"/>
  <c r="AA58" i="1"/>
  <c r="AF58" i="1" s="1"/>
  <c r="AD58" i="1"/>
  <c r="AB58" i="1"/>
  <c r="AC58" i="1"/>
  <c r="AD231" i="1"/>
  <c r="AB231" i="1"/>
  <c r="AE231" i="1"/>
  <c r="AC231" i="1"/>
  <c r="AA231" i="1"/>
  <c r="AF231" i="1" s="1"/>
  <c r="Z231" i="1"/>
  <c r="AB664" i="1"/>
  <c r="Z664" i="1"/>
  <c r="AA664" i="1"/>
  <c r="AF664" i="1" s="1"/>
  <c r="AE664" i="1"/>
  <c r="AC664" i="1"/>
  <c r="AD664" i="1"/>
  <c r="AD598" i="1"/>
  <c r="AB598" i="1"/>
  <c r="AE598" i="1"/>
  <c r="AA598" i="1"/>
  <c r="AF598" i="1" s="1"/>
  <c r="AC598" i="1"/>
  <c r="Z598" i="1"/>
  <c r="AA593" i="1"/>
  <c r="AF593" i="1" s="1"/>
  <c r="AD593" i="1"/>
  <c r="AC593" i="1"/>
  <c r="AB593" i="1"/>
  <c r="AE593" i="1"/>
  <c r="Z593" i="1"/>
  <c r="AC427" i="1"/>
  <c r="AB427" i="1"/>
  <c r="AE427" i="1"/>
  <c r="Z427" i="1"/>
  <c r="AA427" i="1"/>
  <c r="AF427" i="1" s="1"/>
  <c r="AD427" i="1"/>
  <c r="Z226" i="1"/>
  <c r="AD226" i="1"/>
  <c r="AA226" i="1"/>
  <c r="AF226" i="1" s="1"/>
  <c r="AB226" i="1"/>
  <c r="AC226" i="1"/>
  <c r="AE226" i="1"/>
  <c r="AD103" i="1"/>
  <c r="AA103" i="1"/>
  <c r="AF103" i="1" s="1"/>
  <c r="AC103" i="1"/>
  <c r="AB103" i="1"/>
  <c r="AE103" i="1"/>
  <c r="Z103" i="1"/>
  <c r="AD455" i="1"/>
  <c r="Z455" i="1"/>
  <c r="AB455" i="1"/>
  <c r="AC455" i="1"/>
  <c r="AA455" i="1"/>
  <c r="AF455" i="1" s="1"/>
  <c r="AE455" i="1"/>
  <c r="AE698" i="1"/>
  <c r="AB698" i="1"/>
  <c r="AA698" i="1"/>
  <c r="AF698" i="1" s="1"/>
  <c r="Z698" i="1"/>
  <c r="AC698" i="1"/>
  <c r="AD698" i="1"/>
  <c r="AA603" i="1"/>
  <c r="AF603" i="1" s="1"/>
  <c r="Z603" i="1"/>
  <c r="AE603" i="1"/>
  <c r="AD603" i="1"/>
  <c r="AC603" i="1"/>
  <c r="AB603" i="1"/>
  <c r="AA430" i="1"/>
  <c r="AF430" i="1" s="1"/>
  <c r="AC430" i="1"/>
  <c r="Z430" i="1"/>
  <c r="AD430" i="1"/>
  <c r="AB430" i="1"/>
  <c r="AE430" i="1"/>
  <c r="AD739" i="1"/>
  <c r="AA739" i="1"/>
  <c r="AF739" i="1" s="1"/>
  <c r="AE739" i="1"/>
  <c r="AC739" i="1"/>
  <c r="Z739" i="1"/>
  <c r="AB739" i="1"/>
  <c r="AE732" i="1"/>
  <c r="AB732" i="1"/>
  <c r="AC732" i="1"/>
  <c r="AD732" i="1"/>
  <c r="Z732" i="1"/>
  <c r="AA732" i="1"/>
  <c r="AF732" i="1" s="1"/>
  <c r="AA766" i="1"/>
  <c r="AF766" i="1" s="1"/>
  <c r="Z766" i="1"/>
  <c r="AC766" i="1"/>
  <c r="AD766" i="1"/>
  <c r="AE766" i="1"/>
  <c r="AB766" i="1"/>
  <c r="AD636" i="1"/>
  <c r="AC636" i="1"/>
  <c r="AE636" i="1"/>
  <c r="Z636" i="1"/>
  <c r="AA636" i="1"/>
  <c r="AF636" i="1" s="1"/>
  <c r="AB636" i="1"/>
  <c r="Z799" i="1"/>
  <c r="AD799" i="1"/>
  <c r="AA799" i="1"/>
  <c r="AF799" i="1" s="1"/>
  <c r="AE799" i="1"/>
  <c r="AB799" i="1"/>
  <c r="AC799" i="1"/>
  <c r="Z761" i="1"/>
  <c r="AB761" i="1"/>
  <c r="AE761" i="1"/>
  <c r="AC761" i="1"/>
  <c r="AA761" i="1"/>
  <c r="AF761" i="1" s="1"/>
  <c r="AD761" i="1"/>
  <c r="AC143" i="1"/>
  <c r="AD143" i="1"/>
  <c r="AB143" i="1"/>
  <c r="AE143" i="1"/>
  <c r="Z143" i="1"/>
  <c r="AA143" i="1"/>
  <c r="AF143" i="1" s="1"/>
  <c r="AA655" i="1"/>
  <c r="AF655" i="1" s="1"/>
  <c r="AC655" i="1"/>
  <c r="AE655" i="1"/>
  <c r="AB655" i="1"/>
  <c r="Z655" i="1"/>
  <c r="AD655" i="1"/>
  <c r="AD558" i="1"/>
  <c r="AB558" i="1"/>
  <c r="Z558" i="1"/>
  <c r="AA558" i="1"/>
  <c r="AF558" i="1" s="1"/>
  <c r="AE558" i="1"/>
  <c r="AC558" i="1"/>
  <c r="AD638" i="1"/>
  <c r="AA638" i="1"/>
  <c r="AF638" i="1" s="1"/>
  <c r="AE638" i="1"/>
  <c r="Z638" i="1"/>
  <c r="AB638" i="1"/>
  <c r="AC638" i="1"/>
  <c r="AE206" i="1"/>
  <c r="AB206" i="1"/>
  <c r="Z206" i="1"/>
  <c r="AA206" i="1"/>
  <c r="AF206" i="1" s="1"/>
  <c r="AC206" i="1"/>
  <c r="AD206" i="1"/>
  <c r="AE701" i="1"/>
  <c r="Z701" i="1"/>
  <c r="AD701" i="1"/>
  <c r="AC701" i="1"/>
  <c r="AB701" i="1"/>
  <c r="AA701" i="1"/>
  <c r="AF701" i="1" s="1"/>
  <c r="AC711" i="1"/>
  <c r="AA711" i="1"/>
  <c r="AF711" i="1" s="1"/>
  <c r="AE711" i="1"/>
  <c r="AB711" i="1"/>
  <c r="AD711" i="1"/>
  <c r="Z711" i="1"/>
  <c r="Z421" i="1"/>
  <c r="AC421" i="1"/>
  <c r="AB421" i="1"/>
  <c r="AD421" i="1"/>
  <c r="AE421" i="1"/>
  <c r="AA421" i="1"/>
  <c r="AF421" i="1" s="1"/>
  <c r="AB502" i="1"/>
  <c r="AD502" i="1"/>
  <c r="Z502" i="1"/>
  <c r="AE502" i="1"/>
  <c r="AC502" i="1"/>
  <c r="AA502" i="1"/>
  <c r="AF502" i="1" s="1"/>
  <c r="AA108" i="1"/>
  <c r="AF108" i="1" s="1"/>
  <c r="AB108" i="1"/>
  <c r="Z108" i="1"/>
  <c r="AD108" i="1"/>
  <c r="AC108" i="1"/>
  <c r="AE108" i="1"/>
  <c r="AB695" i="1"/>
  <c r="AA695" i="1"/>
  <c r="AF695" i="1" s="1"/>
  <c r="AE695" i="1"/>
  <c r="AC695" i="1"/>
  <c r="AD695" i="1"/>
  <c r="Z695" i="1"/>
  <c r="AB672" i="1"/>
  <c r="AD672" i="1"/>
  <c r="AE672" i="1"/>
  <c r="Z672" i="1"/>
  <c r="AC672" i="1"/>
  <c r="AA672" i="1"/>
  <c r="AF672" i="1" s="1"/>
  <c r="AA657" i="1"/>
  <c r="AF657" i="1" s="1"/>
  <c r="AE657" i="1"/>
  <c r="AD657" i="1"/>
  <c r="AB657" i="1"/>
  <c r="Z657" i="1"/>
  <c r="AC657" i="1"/>
  <c r="AE275" i="1"/>
  <c r="AA275" i="1"/>
  <c r="AF275" i="1" s="1"/>
  <c r="AC275" i="1"/>
  <c r="AB275" i="1"/>
  <c r="AD275" i="1"/>
  <c r="Z275" i="1"/>
  <c r="AD426" i="1"/>
  <c r="AE426" i="1"/>
  <c r="Z426" i="1"/>
  <c r="AB426" i="1"/>
  <c r="AC426" i="1"/>
  <c r="AA426" i="1"/>
  <c r="AF426" i="1" s="1"/>
  <c r="Z297" i="1"/>
  <c r="AB297" i="1"/>
  <c r="AD297" i="1"/>
  <c r="AE297" i="1"/>
  <c r="AA297" i="1"/>
  <c r="AF297" i="1" s="1"/>
  <c r="AC297" i="1"/>
  <c r="AE620" i="1"/>
  <c r="AA620" i="1"/>
  <c r="AF620" i="1" s="1"/>
  <c r="AB620" i="1"/>
  <c r="AD620" i="1"/>
  <c r="Z620" i="1"/>
  <c r="AC620" i="1"/>
  <c r="AB596" i="1"/>
  <c r="Z596" i="1"/>
  <c r="AE596" i="1"/>
  <c r="AC596" i="1"/>
  <c r="AD596" i="1"/>
  <c r="AA596" i="1"/>
  <c r="AF596" i="1" s="1"/>
  <c r="D15" i="1"/>
  <c r="C27" i="1"/>
  <c r="C13" i="1"/>
  <c r="AA367" i="1"/>
  <c r="AD367" i="1"/>
  <c r="AC372" i="1"/>
  <c r="AC369" i="1"/>
  <c r="AA372" i="1"/>
  <c r="AB369" i="1"/>
  <c r="AB371" i="1"/>
  <c r="AD372" i="1"/>
  <c r="AA371" i="1"/>
  <c r="AB372" i="1"/>
  <c r="AD371" i="1"/>
  <c r="AC370" i="1"/>
  <c r="AC371" i="1"/>
  <c r="AB370" i="1"/>
  <c r="C32" i="1" l="1"/>
  <c r="H19" i="1"/>
  <c r="B19" i="1" s="1"/>
  <c r="H18" i="1"/>
  <c r="B18" i="1" s="1"/>
  <c r="G29" i="1"/>
  <c r="H24" i="1"/>
  <c r="B24" i="1" s="1"/>
  <c r="D19" i="1"/>
  <c r="G20" i="1"/>
  <c r="I18" i="1"/>
  <c r="D27" i="1"/>
  <c r="I21" i="1"/>
  <c r="F21" i="1"/>
  <c r="G32" i="1"/>
  <c r="G25" i="1"/>
  <c r="I23" i="1"/>
  <c r="C16" i="1"/>
  <c r="F29" i="1"/>
  <c r="I26" i="1"/>
  <c r="E24" i="1"/>
  <c r="C30" i="1"/>
  <c r="H32" i="1"/>
  <c r="B32" i="1" s="1"/>
  <c r="E26" i="1"/>
  <c r="D32" i="1"/>
  <c r="D28" i="1"/>
  <c r="G23" i="1"/>
  <c r="I27" i="1"/>
  <c r="F31" i="1"/>
  <c r="E29" i="1"/>
  <c r="D17" i="1"/>
  <c r="H25" i="1"/>
  <c r="B25" i="1" s="1"/>
  <c r="I25" i="1"/>
  <c r="C24" i="1"/>
  <c r="I28" i="1"/>
  <c r="G31" i="1"/>
  <c r="D26" i="1"/>
  <c r="G26" i="1"/>
  <c r="I29" i="1"/>
  <c r="E14" i="1"/>
  <c r="AE371" i="1"/>
  <c r="AE372" i="1"/>
  <c r="H16" i="1"/>
  <c r="B16" i="1" s="1"/>
  <c r="AF372" i="1"/>
  <c r="F16" i="1"/>
  <c r="I16" i="1"/>
  <c r="C21" i="1"/>
  <c r="E20" i="1"/>
  <c r="D23" i="1"/>
  <c r="G30" i="1"/>
  <c r="C17" i="1"/>
  <c r="E21" i="1"/>
  <c r="F26" i="1"/>
  <c r="F23" i="1"/>
  <c r="G24" i="1"/>
  <c r="D22" i="1"/>
  <c r="D13" i="1"/>
  <c r="C28" i="1"/>
  <c r="E16" i="1"/>
  <c r="C26" i="1"/>
  <c r="F5" i="1"/>
  <c r="H31" i="1"/>
  <c r="B31" i="1" s="1"/>
  <c r="E15" i="1"/>
  <c r="D18" i="1"/>
  <c r="G27" i="1"/>
  <c r="D20" i="1"/>
  <c r="H28" i="1"/>
  <c r="B28" i="1" s="1"/>
  <c r="C25" i="1"/>
  <c r="G21" i="1"/>
  <c r="I24" i="1"/>
  <c r="F25" i="1"/>
  <c r="E18" i="1"/>
  <c r="F24" i="1"/>
  <c r="F30" i="1"/>
  <c r="H21" i="1"/>
  <c r="B21" i="1" s="1"/>
  <c r="I30" i="1"/>
  <c r="G28" i="1"/>
  <c r="C23" i="1"/>
  <c r="C18" i="1"/>
  <c r="H30" i="1"/>
  <c r="B30" i="1" s="1"/>
  <c r="H29" i="1"/>
  <c r="B29" i="1" s="1"/>
  <c r="D29" i="1"/>
  <c r="E13" i="1"/>
  <c r="C15" i="1"/>
  <c r="C14" i="1"/>
  <c r="F15" i="1"/>
  <c r="F27" i="1"/>
  <c r="H20" i="1"/>
  <c r="B20" i="1" s="1"/>
  <c r="E22" i="1"/>
  <c r="F20" i="1"/>
  <c r="I22" i="1"/>
  <c r="F28" i="1"/>
  <c r="D24" i="1"/>
  <c r="H23" i="1"/>
  <c r="B23" i="1" s="1"/>
  <c r="D16" i="1"/>
  <c r="F13" i="1"/>
  <c r="H26" i="1"/>
  <c r="B26" i="1" s="1"/>
  <c r="F18" i="1"/>
  <c r="D30" i="1"/>
  <c r="I31" i="1"/>
  <c r="E25" i="1"/>
  <c r="F22" i="1"/>
  <c r="C20" i="1"/>
  <c r="I17" i="1"/>
  <c r="C19" i="1"/>
  <c r="E32" i="1"/>
  <c r="E23" i="1"/>
  <c r="H27" i="1"/>
  <c r="B27" i="1" s="1"/>
  <c r="F19" i="1"/>
  <c r="C31" i="1"/>
  <c r="F32" i="1"/>
  <c r="E30" i="1"/>
  <c r="G22" i="1"/>
  <c r="I20" i="1"/>
  <c r="G19" i="1"/>
  <c r="D21" i="1"/>
  <c r="D25" i="1"/>
  <c r="G18" i="1"/>
  <c r="H17" i="1"/>
  <c r="B17" i="1" s="1"/>
  <c r="G16" i="1"/>
  <c r="E19" i="1"/>
  <c r="E27" i="1"/>
  <c r="G17" i="1"/>
  <c r="H22" i="1"/>
  <c r="B22" i="1" s="1"/>
  <c r="I32" i="1"/>
  <c r="F14" i="1"/>
  <c r="E28" i="1"/>
  <c r="I19" i="1"/>
  <c r="F17" i="1"/>
  <c r="C29" i="1"/>
  <c r="E17" i="1"/>
  <c r="D14" i="1"/>
  <c r="E31" i="1"/>
  <c r="C22" i="1"/>
  <c r="D31" i="1"/>
  <c r="G15" i="1"/>
  <c r="H15" i="1"/>
  <c r="B15" i="1" s="1"/>
  <c r="AF367" i="1"/>
  <c r="AE367" i="1"/>
  <c r="AA370" i="1"/>
  <c r="AD370" i="1"/>
  <c r="AA369" i="1"/>
  <c r="H8" i="1" a="1"/>
  <c r="AE370" i="1" l="1"/>
  <c r="H8" i="1"/>
  <c r="I15" i="1"/>
  <c r="AA366" i="1"/>
  <c r="AD366" i="1"/>
  <c r="AE369" i="1"/>
  <c r="G14" i="1" l="1"/>
  <c r="H14" i="1"/>
  <c r="B14" i="1" s="1"/>
  <c r="AE366" i="1"/>
  <c r="I14" i="1" l="1"/>
  <c r="AA365" i="1"/>
  <c r="AF371" i="1" s="1"/>
  <c r="AD365" i="1"/>
  <c r="AF370" i="1" l="1"/>
  <c r="AF365" i="1"/>
  <c r="AE365" i="1"/>
  <c r="I13" i="1" s="1"/>
  <c r="I5" i="1"/>
  <c r="AF369" i="1"/>
  <c r="H13" i="1"/>
  <c r="B13" i="1" s="1"/>
  <c r="I8" i="1"/>
  <c r="AF366" i="1"/>
  <c r="AD369" i="1"/>
  <c r="G13" i="1" l="1"/>
  <c r="N25" i="1"/>
  <c r="M24" i="1"/>
  <c r="N30" i="1"/>
  <c r="L15" i="1"/>
  <c r="K15" i="1" s="1"/>
  <c r="M19" i="1"/>
  <c r="M30" i="1"/>
  <c r="N26" i="1"/>
  <c r="M15" i="1"/>
  <c r="M29" i="1"/>
  <c r="M27" i="1"/>
  <c r="L28" i="1"/>
  <c r="K28" i="1" s="1"/>
  <c r="L23" i="1"/>
  <c r="K23" i="1" s="1"/>
  <c r="M22" i="1"/>
  <c r="N14" i="1"/>
  <c r="L26" i="1"/>
  <c r="K26" i="1" s="1"/>
  <c r="L13" i="1"/>
  <c r="K13" i="1" s="1"/>
  <c r="L18" i="1"/>
  <c r="K18" i="1" s="1"/>
  <c r="N21" i="1"/>
  <c r="N19" i="1"/>
  <c r="N15" i="1"/>
  <c r="M31" i="1"/>
  <c r="M21" i="1"/>
  <c r="L17" i="1"/>
  <c r="K17" i="1" s="1"/>
  <c r="L31" i="1"/>
  <c r="K31" i="1" s="1"/>
  <c r="M14" i="1"/>
  <c r="M16" i="1"/>
  <c r="N18" i="1"/>
  <c r="M23" i="1"/>
  <c r="N32" i="1"/>
  <c r="L29" i="1"/>
  <c r="K29" i="1" s="1"/>
  <c r="L24" i="1"/>
  <c r="K24" i="1" s="1"/>
  <c r="N23" i="1"/>
  <c r="M28" i="1"/>
  <c r="N29" i="1"/>
  <c r="L27" i="1"/>
  <c r="K27" i="1" s="1"/>
  <c r="M20" i="1"/>
  <c r="L32" i="1"/>
  <c r="K32" i="1" s="1"/>
  <c r="M25" i="1"/>
  <c r="L30" i="1"/>
  <c r="K30" i="1" s="1"/>
  <c r="M26" i="1"/>
  <c r="N17" i="1"/>
  <c r="M32" i="1"/>
  <c r="M17" i="1"/>
  <c r="N31" i="1"/>
  <c r="L25" i="1"/>
  <c r="K25" i="1" s="1"/>
  <c r="N22" i="1"/>
  <c r="N27" i="1"/>
  <c r="L22" i="1"/>
  <c r="K22" i="1" s="1"/>
  <c r="M13" i="1"/>
  <c r="L19" i="1"/>
  <c r="K19" i="1" s="1"/>
  <c r="N16" i="1"/>
  <c r="M18" i="1"/>
  <c r="L16" i="1"/>
  <c r="K16" i="1" s="1"/>
  <c r="N13" i="1"/>
  <c r="L21" i="1"/>
  <c r="K21" i="1" s="1"/>
  <c r="L20" i="1"/>
  <c r="K20" i="1" s="1"/>
  <c r="N24" i="1"/>
  <c r="N28" i="1"/>
  <c r="N20" i="1"/>
  <c r="L14" i="1"/>
  <c r="K14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OpenAI</author>
  </authors>
  <commentList>
    <comment ref="H10" authorId="0" shapeId="0" xr:uid="{00000000-0006-0000-0400-000001000000}">
      <text>
        <r>
          <rPr>
            <sz val="11"/>
            <color rgb="FF000000"/>
            <rFont val="Calibri"/>
            <family val="2"/>
          </rPr>
          <t xml:space="preserve">Mode principal.
</t>
        </r>
        <r>
          <rPr>
            <sz val="11"/>
            <color rgb="FF000000"/>
            <rFont val="Calibri"/>
            <family val="2"/>
          </rPr>
          <t>Si règlement mixte, choisir MIXTE et utiliser G:J.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<sst xmlns="http://schemas.openxmlformats.org/spreadsheetml/2006/main" count="132" uniqueCount="87">
  <si>
    <t>CAISSE DU JOUR - MARTIN SOLS</t>
  </si>
  <si>
    <t>DATE DE CAISSE</t>
  </si>
  <si>
    <t>TOTAL CAISSE</t>
  </si>
  <si>
    <t>CAISSE J-1</t>
  </si>
  <si>
    <t>ECART SAISIE</t>
  </si>
  <si>
    <t>STATUT</t>
  </si>
  <si>
    <t>FACTURES DU JOUR</t>
  </si>
  <si>
    <t>ENTREES</t>
  </si>
  <si>
    <t>SORTIES</t>
  </si>
  <si>
    <t>NUM FACT</t>
  </si>
  <si>
    <t>COMPTE</t>
  </si>
  <si>
    <t>NOM</t>
  </si>
  <si>
    <t>TTC</t>
  </si>
  <si>
    <t>ACOMPTE</t>
  </si>
  <si>
    <t>MODE</t>
  </si>
  <si>
    <t>ESP</t>
  </si>
  <si>
    <t>CHQ</t>
  </si>
  <si>
    <t>VIR</t>
  </si>
  <si>
    <t>CB</t>
  </si>
  <si>
    <t>CONTROLE</t>
  </si>
  <si>
    <t>MONTANT</t>
  </si>
  <si>
    <t>TOTAL</t>
  </si>
  <si>
    <t>TOTAL SORTIES</t>
  </si>
  <si>
    <t>COMPTAGE CAISSE</t>
  </si>
  <si>
    <t>CONTRÔLES BANQUE</t>
  </si>
  <si>
    <t>TYPE</t>
  </si>
  <si>
    <t>VALEUR</t>
  </si>
  <si>
    <t>CAISSE DE LA VEILLE</t>
  </si>
  <si>
    <t>CAISSE DU JOUR</t>
  </si>
  <si>
    <t>REMISE EN BANQUE</t>
  </si>
  <si>
    <t>TOTAL CAISSE JOUR</t>
  </si>
  <si>
    <t>TOTAL REMISE</t>
  </si>
  <si>
    <t>MÉTHODE</t>
  </si>
  <si>
    <t>SAISIE</t>
  </si>
  <si>
    <t>RÉEL</t>
  </si>
  <si>
    <t>ÉCART</t>
  </si>
  <si>
    <t>BILLET</t>
  </si>
  <si>
    <t>Chèques</t>
  </si>
  <si>
    <t>Virements</t>
  </si>
  <si>
    <t>Télécollecte</t>
  </si>
  <si>
    <t>Espèces</t>
  </si>
  <si>
    <t>PILOTAGE ESPÈCES</t>
  </si>
  <si>
    <t>PIÈCE</t>
  </si>
  <si>
    <t>Ouverture J-1</t>
  </si>
  <si>
    <t>Espèces du jour</t>
  </si>
  <si>
    <t>Sorties espèces</t>
  </si>
  <si>
    <t>Remise banque</t>
  </si>
  <si>
    <t>Clôture théorique</t>
  </si>
  <si>
    <t>Caisse comptée</t>
  </si>
  <si>
    <t>Écart de caisse</t>
  </si>
  <si>
    <t>PARAMÈTRES</t>
  </si>
  <si>
    <t>Modes de paiement</t>
  </si>
  <si>
    <t>Dénominations</t>
  </si>
  <si>
    <t>MIXTE</t>
  </si>
  <si>
    <t>DERNIERE CAISSE</t>
  </si>
  <si>
    <t>DERNIER STATUT</t>
  </si>
  <si>
    <t>CAISSES EN ERREUR</t>
  </si>
  <si>
    <t>Feuille</t>
  </si>
  <si>
    <t>Date</t>
  </si>
  <si>
    <t>Total caisse</t>
  </si>
  <si>
    <t>Ecart saisie</t>
  </si>
  <si>
    <t>Ecart caisse</t>
  </si>
  <si>
    <t>Statut</t>
  </si>
  <si>
    <t>Probleme principal</t>
  </si>
  <si>
    <t>Probleme</t>
  </si>
  <si>
    <t>DateCandidate</t>
  </si>
  <si>
    <t>NomFeuille</t>
  </si>
  <si>
    <t>Existe</t>
  </si>
  <si>
    <t>RangExiste</t>
  </si>
  <si>
    <t>Total</t>
  </si>
  <si>
    <t>EcartSaisie</t>
  </si>
  <si>
    <t>EcartCaisse</t>
  </si>
  <si>
    <t>RangErreur</t>
  </si>
  <si>
    <t xml:space="preserve">  INFORMATIONS</t>
  </si>
  <si>
    <t xml:space="preserve">  SAISIE PRINCIPALE</t>
  </si>
  <si>
    <t xml:space="preserve">  VERIFICATION</t>
  </si>
  <si>
    <t xml:space="preserve">  CALCUL AUTOMATIQUE</t>
  </si>
  <si>
    <t xml:space="preserve">  CAISSE OK</t>
  </si>
  <si>
    <t xml:space="preserve">  CAISSE EN ERREUR</t>
  </si>
  <si>
    <t>JUSTIFICATIF</t>
  </si>
  <si>
    <t>MODELE_JOUR</t>
  </si>
  <si>
    <t>AUTO</t>
  </si>
  <si>
    <t>MANUEL</t>
  </si>
  <si>
    <t>20 DERNIERES CAISSES</t>
  </si>
  <si>
    <t>TABLEAU DE CONTRÔLE DES CAISSES</t>
  </si>
  <si>
    <t>CAISSES DISPONIBLES</t>
  </si>
  <si>
    <t>FOND DE CAISSE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</si>
</sst>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\ \€;[Red]\(#,##0.00\ \€\);\-"/>
    <numFmt numFmtId="165" formatCode=";;;"/>
    <numFmt numFmtId="166" formatCode="#,##0.00&quot; EUR&quot;"/>
    <numFmt numFmtId="167" formatCode="#,##0.00\ \€;[Red]\(\-#,##0.00\ \€\);\-"/>
    <numFmt numFmtId="168" formatCode="#,##0.00\ &quot;€&quot;"/>
  </numFmts>
  <fonts count="44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rgb="FFFFFFFF"/>
      <name val="Calibri"/>
      <family val="2"/>
    </font>
    <font>
      <b/>
      <sz val="11"/>
      <color rgb="FFFFFFFF"/>
      <name val="Calibri"/>
      <family val="2"/>
    </font>
    <font>
      <sz val="10"/>
      <color rgb="FF203040"/>
      <name val="Calibri"/>
      <family val="2"/>
    </font>
    <font>
      <sz val="10"/>
      <color rgb="FF000000"/>
      <name val="Calibri"/>
      <family val="2"/>
    </font>
    <font>
      <b/>
      <sz val="10"/>
      <color rgb="FF203040"/>
      <name val="Calibri"/>
      <family val="2"/>
    </font>
    <font>
      <b/>
      <sz val="12"/>
      <color rgb="FF20304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0"/>
      <color rgb="FF203040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2"/>
      <color rgb="FFFFFFFF"/>
      <name val="Calibri"/>
      <family val="2"/>
      <scheme val="minor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rgb="FFFFFFFF"/>
      <name val="Arial"/>
      <family val="2"/>
    </font>
    <font>
      <sz val="12"/>
      <color theme="1"/>
      <name val="Arial"/>
      <family val="2"/>
    </font>
    <font>
      <sz val="10"/>
      <color rgb="FF352F2C"/>
      <name val="Aptos"/>
    </font>
    <font>
      <b/>
      <sz val="15"/>
      <color rgb="FF352F2C"/>
      <name val="Aptos Display"/>
    </font>
    <font>
      <b/>
      <sz val="10"/>
      <color rgb="FFFFFFFF"/>
      <name val="Aptos"/>
    </font>
    <font>
      <b/>
      <sz val="10"/>
      <color rgb="FF352F2C"/>
      <name val="Aptos"/>
    </font>
    <font>
      <b/>
      <sz val="16"/>
      <color rgb="FF352F2C"/>
      <name val="Arial"/>
      <family val="2"/>
    </font>
    <font>
      <b/>
      <sz val="12"/>
      <color rgb="FF352F2C"/>
      <name val="Arial"/>
      <family val="2"/>
    </font>
    <font>
      <sz val="9"/>
      <color rgb="FF352F2C"/>
      <name val="Arial"/>
      <family val="2"/>
    </font>
    <font>
      <sz val="9"/>
      <name val="Arial"/>
      <family val="2"/>
    </font>
    <font>
      <b/>
      <sz val="10"/>
      <name val="Calibri"/>
      <family val="2"/>
    </font>
    <font>
      <sz val="10"/>
      <name val="Calibri"/>
      <family val="2"/>
      <scheme val="minor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0"/>
      <color theme="0"/>
      <name val="Calibri"/>
      <family val="2"/>
      <scheme val="minor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9"/>
      <color rgb="FF0000FF"/>
      <name val="Arial"/>
      <family val="2"/>
    </font>
    <font>
      <sz val="9"/>
      <color theme="1"/>
      <name val="Arial"/>
      <family val="2"/>
    </font>
    <font>
      <sz val="9"/>
      <color rgb="FF0000FF"/>
      <name val="Arial"/>
      <family val="2"/>
    </font>
    <font>
      <u/>
      <sz val="11"/>
      <color theme="10"/>
      <name val="Calibri"/>
      <family val="2"/>
      <scheme val="minor"/>
    </font>
    <font>
      <sz val="24"/>
      <color rgb="FFFFFFFF"/>
      <name val="Arial Narrow Bold"/>
    </font>
    <font>
      <sz val="10"/>
      <color rgb="FF651E25"/>
      <name val="Arial"/>
      <family val="2"/>
    </font>
    <font>
      <b/>
      <sz val="10"/>
      <color rgb="FF651E25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17324D"/>
      </patternFill>
    </fill>
    <fill>
      <patternFill patternType="solid">
        <fgColor rgb="FF1F5A85"/>
      </patternFill>
    </fill>
    <fill>
      <patternFill patternType="solid">
        <fgColor rgb="FFFDE9D9"/>
      </patternFill>
    </fill>
    <fill>
      <patternFill patternType="solid">
        <fgColor theme="0"/>
        <bgColor indexed="64"/>
      </patternFill>
    </fill>
    <fill>
      <patternFill patternType="solid">
        <fgColor rgb="FFEBF4FB"/>
        <bgColor indexed="64"/>
      </patternFill>
    </fill>
    <fill>
      <patternFill patternType="solid">
        <fgColor rgb="FF98002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7F3EB"/>
        <bgColor indexed="64"/>
      </patternFill>
    </fill>
    <fill>
      <patternFill patternType="solid">
        <fgColor rgb="FF651E2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rgb="FF8D3D43"/>
        <bgColor indexed="64"/>
      </patternFill>
    </fill>
    <fill>
      <patternFill patternType="solid">
        <fgColor rgb="FFE0D6CD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7E0D9"/>
        <bgColor indexed="64"/>
      </patternFill>
    </fill>
  </fills>
  <borders count="37">
    <border>
      <left/>
      <right/>
      <top/>
      <bottom/>
      <diagonal/>
    </border>
    <border>
      <left style="thin">
        <color rgb="FFD6DDE5"/>
      </left>
      <right style="thin">
        <color rgb="FFD6DDE5"/>
      </right>
      <top style="thin">
        <color rgb="FFD6DDE5"/>
      </top>
      <bottom style="thin">
        <color rgb="FFD6DDE5"/>
      </bottom>
      <diagonal/>
    </border>
    <border>
      <left/>
      <right/>
      <top style="thin">
        <color rgb="FFD6DDE5"/>
      </top>
      <bottom/>
      <diagonal/>
    </border>
    <border>
      <left style="thin">
        <color rgb="FFE0D6CD"/>
      </left>
      <right style="thin">
        <color rgb="FFE0D6CD"/>
      </right>
      <top style="thin">
        <color rgb="FFE0D6CD"/>
      </top>
      <bottom style="thin">
        <color rgb="FFE0D6CD"/>
      </bottom>
      <diagonal/>
    </border>
    <border>
      <left style="thin">
        <color rgb="FFE0D6CD"/>
      </left>
      <right/>
      <top style="thin">
        <color rgb="FFE0D6CD"/>
      </top>
      <bottom/>
      <diagonal/>
    </border>
    <border>
      <left/>
      <right style="thin">
        <color rgb="FFE0D6CD"/>
      </right>
      <top style="thin">
        <color rgb="FFE0D6CD"/>
      </top>
      <bottom/>
      <diagonal/>
    </border>
    <border>
      <left/>
      <right/>
      <top/>
      <bottom style="thin">
        <color rgb="FFE0D6CD"/>
      </bottom>
      <diagonal/>
    </border>
    <border>
      <left style="thin">
        <color rgb="FF651E25"/>
      </left>
      <right/>
      <top style="thin">
        <color rgb="FF651E25"/>
      </top>
      <bottom/>
      <diagonal/>
    </border>
    <border>
      <left/>
      <right/>
      <top style="thin">
        <color rgb="FF651E25"/>
      </top>
      <bottom/>
      <diagonal/>
    </border>
    <border>
      <left/>
      <right style="thin">
        <color rgb="FF651E25"/>
      </right>
      <top style="thin">
        <color rgb="FF651E25"/>
      </top>
      <bottom/>
      <diagonal/>
    </border>
    <border>
      <left style="thin">
        <color rgb="FF651E25"/>
      </left>
      <right/>
      <top/>
      <bottom/>
      <diagonal/>
    </border>
    <border>
      <left/>
      <right style="thin">
        <color rgb="FF651E25"/>
      </right>
      <top/>
      <bottom/>
      <diagonal/>
    </border>
    <border>
      <left style="thin">
        <color rgb="FFE0D6CD"/>
      </left>
      <right style="thin">
        <color rgb="FFE0D6CD"/>
      </right>
      <top style="thin">
        <color rgb="FFE0D6CD"/>
      </top>
      <bottom/>
      <diagonal/>
    </border>
    <border>
      <left style="thin">
        <color rgb="FFE0D6CD"/>
      </left>
      <right style="thin">
        <color rgb="FFE0D6CD"/>
      </right>
      <top/>
      <bottom style="thin">
        <color rgb="FFE0D6CD"/>
      </bottom>
      <diagonal/>
    </border>
    <border>
      <left style="thin">
        <color rgb="FFE0D6CD"/>
      </left>
      <right/>
      <top style="thin">
        <color rgb="FFE0D6CD"/>
      </top>
      <bottom style="thin">
        <color rgb="FFE0D6CD"/>
      </bottom>
      <diagonal/>
    </border>
    <border>
      <left/>
      <right style="thin">
        <color rgb="FFE0D6CD"/>
      </right>
      <top style="thin">
        <color rgb="FFE0D6CD"/>
      </top>
      <bottom style="thin">
        <color rgb="FFE0D6CD"/>
      </bottom>
      <diagonal/>
    </border>
    <border>
      <left/>
      <right style="thin">
        <color rgb="FFE0D6CD"/>
      </right>
      <top/>
      <bottom style="thin">
        <color rgb="FFE0D6CD"/>
      </bottom>
      <diagonal/>
    </border>
    <border>
      <left style="thin">
        <color rgb="FFE0D6CD"/>
      </left>
      <right style="thin">
        <color rgb="FFF7F3EB"/>
      </right>
      <top style="thin">
        <color rgb="FFE0D6CD"/>
      </top>
      <bottom style="thin">
        <color rgb="FFE0D6CD"/>
      </bottom>
      <diagonal/>
    </border>
    <border>
      <left style="thin">
        <color rgb="FFF7F3EB"/>
      </left>
      <right style="thin">
        <color rgb="FFF7F3EB"/>
      </right>
      <top style="thin">
        <color rgb="FFE0D6CD"/>
      </top>
      <bottom style="thin">
        <color rgb="FFE0D6CD"/>
      </bottom>
      <diagonal/>
    </border>
    <border>
      <left style="thin">
        <color rgb="FFF7F3EB"/>
      </left>
      <right style="thin">
        <color rgb="FFE0D6CD"/>
      </right>
      <top style="thin">
        <color rgb="FFE0D6CD"/>
      </top>
      <bottom style="thin">
        <color rgb="FFE0D6CD"/>
      </bottom>
      <diagonal/>
    </border>
    <border>
      <left style="thin">
        <color rgb="FF9B4349"/>
      </left>
      <right style="thin">
        <color rgb="FF9B4349"/>
      </right>
      <top style="thin">
        <color rgb="FF9B4349"/>
      </top>
      <bottom/>
      <diagonal/>
    </border>
    <border>
      <left style="thin">
        <color rgb="FFE0D6CD"/>
      </left>
      <right style="thin">
        <color rgb="FFF7F3EB"/>
      </right>
      <top style="thin">
        <color rgb="FFE0D6CD"/>
      </top>
      <bottom/>
      <diagonal/>
    </border>
    <border>
      <left style="thin">
        <color rgb="FFF7F3EB"/>
      </left>
      <right style="thin">
        <color rgb="FFF7F3EB"/>
      </right>
      <top style="thin">
        <color rgb="FFE0D6CD"/>
      </top>
      <bottom/>
      <diagonal/>
    </border>
    <border>
      <left style="thin">
        <color rgb="FFF7F3EB"/>
      </left>
      <right style="thin">
        <color rgb="FFE0D6CD"/>
      </right>
      <top style="thin">
        <color rgb="FFE0D6CD"/>
      </top>
      <bottom/>
      <diagonal/>
    </border>
    <border>
      <left style="thin">
        <color rgb="FFE0D6CD"/>
      </left>
      <right style="thin">
        <color rgb="FFF7F3EB"/>
      </right>
      <top/>
      <bottom style="thin">
        <color rgb="FFE0D6CD"/>
      </bottom>
      <diagonal/>
    </border>
    <border>
      <left style="thin">
        <color rgb="FFF7F3EB"/>
      </left>
      <right style="thin">
        <color rgb="FFF7F3EB"/>
      </right>
      <top/>
      <bottom style="thin">
        <color rgb="FFE0D6CD"/>
      </bottom>
      <diagonal/>
    </border>
    <border>
      <left style="thin">
        <color rgb="FFF7F3EB"/>
      </left>
      <right style="thin">
        <color rgb="FFE0D6CD"/>
      </right>
      <top/>
      <bottom style="thin">
        <color rgb="FFE0D6CD"/>
      </bottom>
      <diagonal/>
    </border>
    <border>
      <left style="thin">
        <color rgb="FF9B4349"/>
      </left>
      <right style="thin">
        <color rgb="FF9B4349"/>
      </right>
      <top/>
      <bottom/>
      <diagonal/>
    </border>
    <border>
      <left/>
      <right/>
      <top style="thin">
        <color rgb="FF9B4349"/>
      </top>
      <bottom/>
      <diagonal/>
    </border>
    <border>
      <left style="thin">
        <color rgb="FFE0D6CD"/>
      </left>
      <right style="thin">
        <color rgb="FFE0D6CD"/>
      </right>
      <top/>
      <bottom/>
      <diagonal/>
    </border>
    <border>
      <left/>
      <right/>
      <top style="thin">
        <color rgb="FFE0D6CD"/>
      </top>
      <bottom style="thin">
        <color rgb="FFE0D6CD"/>
      </bottom>
      <diagonal/>
    </border>
    <border>
      <left/>
      <right/>
      <top style="thin">
        <color rgb="FFE0D6CD"/>
      </top>
      <bottom/>
      <diagonal/>
    </border>
    <border>
      <left style="thin">
        <color rgb="FFE0D6CD"/>
      </left>
      <right/>
      <top/>
      <bottom/>
      <diagonal/>
    </border>
    <border>
      <left/>
      <right style="thin">
        <color rgb="FFE0D6CD"/>
      </right>
      <top/>
      <bottom/>
      <diagonal/>
    </border>
    <border>
      <left style="thin">
        <color rgb="FFC3AF9D"/>
      </left>
      <right style="thin">
        <color rgb="FFC3AF9D"/>
      </right>
      <top style="thin">
        <color rgb="FFC3AF9D"/>
      </top>
      <bottom/>
      <diagonal/>
    </border>
    <border>
      <left style="thin">
        <color rgb="FFC3AF9D"/>
      </left>
      <right style="thin">
        <color rgb="FFC3AF9D"/>
      </right>
      <top/>
      <bottom/>
      <diagonal/>
    </border>
    <border>
      <left style="thin">
        <color rgb="FFC3AF9D"/>
      </left>
      <right style="thin">
        <color rgb="FFC3AF9D"/>
      </right>
      <top/>
      <bottom style="thin">
        <color rgb="FFC3AF9D"/>
      </bottom>
      <diagonal/>
    </border>
  </borders>
  <cellStyleXfs count="2">
    <xf numFmtId="0" fontId="0" fillId="0" borderId="0"/>
    <xf numFmtId="0" fontId="40" fillId="0" borderId="0" applyNumberFormat="0" applyFill="0" applyBorder="0" applyAlignment="0" applyProtection="0"/>
  </cellStyleXfs>
  <cellXfs count="161">
    <xf numFmtId="0" fontId="0" fillId="0" borderId="0" xfId="0"/>
    <xf numFmtId="0" fontId="4" fillId="3" borderId="0" xfId="0" applyFont="1" applyFill="1"/>
    <xf numFmtId="0" fontId="5" fillId="0" borderId="1" xfId="0" applyFont="1" applyBorder="1"/>
    <xf numFmtId="0" fontId="0" fillId="0" borderId="1" xfId="0" applyBorder="1"/>
    <xf numFmtId="164" fontId="0" fillId="0" borderId="1" xfId="0" applyNumberFormat="1" applyBorder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wrapText="1"/>
    </xf>
    <xf numFmtId="0" fontId="0" fillId="7" borderId="0" xfId="0" applyFill="1"/>
    <xf numFmtId="0" fontId="22" fillId="9" borderId="0" xfId="0" applyFont="1" applyFill="1"/>
    <xf numFmtId="0" fontId="0" fillId="9" borderId="0" xfId="0" applyFill="1"/>
    <xf numFmtId="14" fontId="0" fillId="9" borderId="0" xfId="0" applyNumberFormat="1" applyFill="1"/>
    <xf numFmtId="0" fontId="25" fillId="8" borderId="3" xfId="0" applyFont="1" applyFill="1" applyBorder="1" applyAlignment="1">
      <alignment horizontal="center"/>
    </xf>
    <xf numFmtId="0" fontId="22" fillId="11" borderId="3" xfId="0" applyFont="1" applyFill="1" applyBorder="1" applyAlignment="1">
      <alignment horizontal="center" vertical="center"/>
    </xf>
    <xf numFmtId="14" fontId="22" fillId="11" borderId="3" xfId="0" applyNumberFormat="1" applyFont="1" applyFill="1" applyBorder="1" applyAlignment="1">
      <alignment horizontal="center" vertical="center"/>
    </xf>
    <xf numFmtId="0" fontId="22" fillId="11" borderId="3" xfId="0" applyFont="1" applyFill="1" applyBorder="1" applyAlignment="1">
      <alignment horizontal="center" vertical="center" wrapText="1"/>
    </xf>
    <xf numFmtId="165" fontId="22" fillId="11" borderId="3" xfId="0" applyNumberFormat="1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4" fillId="12" borderId="0" xfId="0" applyFont="1" applyFill="1"/>
    <xf numFmtId="14" fontId="22" fillId="9" borderId="0" xfId="0" applyNumberFormat="1" applyFont="1" applyFill="1"/>
    <xf numFmtId="0" fontId="0" fillId="9" borderId="0" xfId="0" applyFill="1" applyAlignment="1">
      <alignment vertical="center"/>
    </xf>
    <xf numFmtId="0" fontId="1" fillId="9" borderId="0" xfId="0" applyFont="1" applyFill="1" applyAlignment="1">
      <alignment wrapText="1"/>
    </xf>
    <xf numFmtId="0" fontId="16" fillId="9" borderId="0" xfId="0" applyFont="1" applyFill="1" applyAlignment="1">
      <alignment wrapText="1"/>
    </xf>
    <xf numFmtId="0" fontId="16" fillId="9" borderId="0" xfId="0" applyFont="1" applyFill="1"/>
    <xf numFmtId="164" fontId="0" fillId="9" borderId="0" xfId="0" applyNumberFormat="1" applyFill="1"/>
    <xf numFmtId="0" fontId="0" fillId="9" borderId="0" xfId="0" applyFill="1" applyAlignment="1">
      <alignment horizontal="center" vertical="center"/>
    </xf>
    <xf numFmtId="0" fontId="15" fillId="9" borderId="0" xfId="0" applyFont="1" applyFill="1" applyAlignment="1">
      <alignment vertical="center"/>
    </xf>
    <xf numFmtId="0" fontId="8" fillId="9" borderId="0" xfId="0" applyFont="1" applyFill="1" applyAlignment="1">
      <alignment vertical="center"/>
    </xf>
    <xf numFmtId="0" fontId="2" fillId="9" borderId="0" xfId="0" applyFont="1" applyFill="1" applyAlignment="1">
      <alignment vertical="center"/>
    </xf>
    <xf numFmtId="164" fontId="2" fillId="9" borderId="0" xfId="0" applyNumberFormat="1" applyFont="1" applyFill="1" applyAlignment="1">
      <alignment vertical="center"/>
    </xf>
    <xf numFmtId="164" fontId="8" fillId="9" borderId="0" xfId="0" applyNumberFormat="1" applyFont="1" applyFill="1" applyAlignment="1">
      <alignment vertical="center"/>
    </xf>
    <xf numFmtId="0" fontId="7" fillId="9" borderId="0" xfId="0" applyFont="1" applyFill="1"/>
    <xf numFmtId="164" fontId="7" fillId="9" borderId="0" xfId="0" applyNumberFormat="1" applyFont="1" applyFill="1"/>
    <xf numFmtId="164" fontId="14" fillId="9" borderId="0" xfId="0" applyNumberFormat="1" applyFont="1" applyFill="1"/>
    <xf numFmtId="0" fontId="29" fillId="11" borderId="3" xfId="0" applyFont="1" applyFill="1" applyBorder="1" applyAlignment="1">
      <alignment horizontal="center" vertical="center"/>
    </xf>
    <xf numFmtId="0" fontId="24" fillId="12" borderId="0" xfId="0" applyFont="1" applyFill="1" applyAlignment="1">
      <alignment vertical="center"/>
    </xf>
    <xf numFmtId="0" fontId="22" fillId="12" borderId="0" xfId="0" applyFont="1" applyFill="1"/>
    <xf numFmtId="0" fontId="16" fillId="9" borderId="4" xfId="0" applyFont="1" applyFill="1" applyBorder="1" applyAlignment="1">
      <alignment vertical="center"/>
    </xf>
    <xf numFmtId="0" fontId="16" fillId="9" borderId="5" xfId="0" applyFont="1" applyFill="1" applyBorder="1" applyAlignment="1">
      <alignment vertical="center"/>
    </xf>
    <xf numFmtId="164" fontId="21" fillId="6" borderId="19" xfId="0" applyNumberFormat="1" applyFont="1" applyFill="1" applyBorder="1" applyAlignment="1">
      <alignment vertical="center"/>
    </xf>
    <xf numFmtId="0" fontId="36" fillId="12" borderId="0" xfId="0" applyFont="1" applyFill="1" applyAlignment="1">
      <alignment horizontal="center" vertical="center"/>
    </xf>
    <xf numFmtId="49" fontId="36" fillId="12" borderId="0" xfId="0" applyNumberFormat="1" applyFont="1" applyFill="1" applyAlignment="1">
      <alignment horizontal="center" vertical="center" wrapText="1"/>
    </xf>
    <xf numFmtId="0" fontId="36" fillId="12" borderId="0" xfId="0" applyFont="1" applyFill="1" applyAlignment="1">
      <alignment horizontal="center" vertical="center" wrapText="1"/>
    </xf>
    <xf numFmtId="164" fontId="21" fillId="6" borderId="26" xfId="0" applyNumberFormat="1" applyFont="1" applyFill="1" applyBorder="1" applyAlignment="1">
      <alignment vertical="center"/>
    </xf>
    <xf numFmtId="0" fontId="10" fillId="10" borderId="0" xfId="0" applyFont="1" applyFill="1" applyAlignment="1">
      <alignment vertical="center"/>
    </xf>
    <xf numFmtId="0" fontId="36" fillId="12" borderId="27" xfId="0" applyFont="1" applyFill="1" applyBorder="1" applyAlignment="1">
      <alignment horizontal="center" vertical="center" wrapText="1"/>
    </xf>
    <xf numFmtId="0" fontId="36" fillId="12" borderId="28" xfId="0" applyFont="1" applyFill="1" applyBorder="1" applyAlignment="1">
      <alignment horizontal="center" vertical="center" wrapText="1"/>
    </xf>
    <xf numFmtId="0" fontId="36" fillId="12" borderId="20" xfId="0" applyFont="1" applyFill="1" applyBorder="1" applyAlignment="1">
      <alignment horizontal="center" vertical="center" wrapText="1"/>
    </xf>
    <xf numFmtId="0" fontId="16" fillId="17" borderId="24" xfId="0" applyFont="1" applyFill="1" applyBorder="1" applyAlignment="1">
      <alignment vertical="center"/>
    </xf>
    <xf numFmtId="0" fontId="16" fillId="17" borderId="17" xfId="0" applyFont="1" applyFill="1" applyBorder="1" applyAlignment="1">
      <alignment vertical="center"/>
    </xf>
    <xf numFmtId="0" fontId="19" fillId="17" borderId="13" xfId="0" applyFont="1" applyFill="1" applyBorder="1"/>
    <xf numFmtId="0" fontId="19" fillId="17" borderId="14" xfId="0" applyFont="1" applyFill="1" applyBorder="1"/>
    <xf numFmtId="0" fontId="19" fillId="17" borderId="4" xfId="0" applyFont="1" applyFill="1" applyBorder="1"/>
    <xf numFmtId="0" fontId="14" fillId="17" borderId="3" xfId="0" applyFont="1" applyFill="1" applyBorder="1" applyAlignment="1">
      <alignment horizontal="center" vertical="center"/>
    </xf>
    <xf numFmtId="0" fontId="14" fillId="17" borderId="14" xfId="0" applyFont="1" applyFill="1" applyBorder="1" applyAlignment="1">
      <alignment horizontal="center" vertical="center"/>
    </xf>
    <xf numFmtId="0" fontId="14" fillId="17" borderId="15" xfId="0" applyFont="1" applyFill="1" applyBorder="1" applyAlignment="1">
      <alignment horizontal="center" vertical="center"/>
    </xf>
    <xf numFmtId="164" fontId="16" fillId="17" borderId="3" xfId="0" applyNumberFormat="1" applyFont="1" applyFill="1" applyBorder="1" applyAlignment="1">
      <alignment vertical="center"/>
    </xf>
    <xf numFmtId="164" fontId="19" fillId="17" borderId="13" xfId="0" applyNumberFormat="1" applyFont="1" applyFill="1" applyBorder="1" applyAlignment="1">
      <alignment vertical="center"/>
    </xf>
    <xf numFmtId="164" fontId="19" fillId="17" borderId="3" xfId="0" applyNumberFormat="1" applyFont="1" applyFill="1" applyBorder="1" applyAlignment="1">
      <alignment vertical="center"/>
    </xf>
    <xf numFmtId="164" fontId="14" fillId="17" borderId="3" xfId="0" applyNumberFormat="1" applyFont="1" applyFill="1" applyBorder="1" applyAlignment="1">
      <alignment vertical="center"/>
    </xf>
    <xf numFmtId="1" fontId="19" fillId="17" borderId="13" xfId="0" applyNumberFormat="1" applyFont="1" applyFill="1" applyBorder="1" applyAlignment="1">
      <alignment vertical="center"/>
    </xf>
    <xf numFmtId="1" fontId="19" fillId="17" borderId="3" xfId="0" applyNumberFormat="1" applyFont="1" applyFill="1" applyBorder="1" applyAlignment="1">
      <alignment vertical="center"/>
    </xf>
    <xf numFmtId="0" fontId="16" fillId="17" borderId="13" xfId="0" applyFont="1" applyFill="1" applyBorder="1" applyAlignment="1">
      <alignment vertical="center"/>
    </xf>
    <xf numFmtId="164" fontId="16" fillId="17" borderId="13" xfId="0" applyNumberFormat="1" applyFont="1" applyFill="1" applyBorder="1" applyAlignment="1">
      <alignment vertical="center"/>
    </xf>
    <xf numFmtId="0" fontId="16" fillId="17" borderId="3" xfId="0" applyFont="1" applyFill="1" applyBorder="1" applyAlignment="1">
      <alignment vertical="center"/>
    </xf>
    <xf numFmtId="0" fontId="14" fillId="17" borderId="3" xfId="0" applyFont="1" applyFill="1" applyBorder="1" applyAlignment="1">
      <alignment vertical="center"/>
    </xf>
    <xf numFmtId="0" fontId="32" fillId="9" borderId="0" xfId="0" applyFont="1" applyFill="1" applyAlignment="1">
      <alignment vertical="center"/>
    </xf>
    <xf numFmtId="0" fontId="32" fillId="9" borderId="0" xfId="0" applyFont="1" applyFill="1"/>
    <xf numFmtId="1" fontId="16" fillId="5" borderId="13" xfId="0" applyNumberFormat="1" applyFont="1" applyFill="1" applyBorder="1" applyAlignment="1" applyProtection="1">
      <alignment vertical="center"/>
      <protection locked="0"/>
    </xf>
    <xf numFmtId="1" fontId="16" fillId="5" borderId="3" xfId="0" applyNumberFormat="1" applyFont="1" applyFill="1" applyBorder="1" applyAlignment="1" applyProtection="1">
      <alignment vertical="center"/>
      <protection locked="0"/>
    </xf>
    <xf numFmtId="0" fontId="22" fillId="0" borderId="12" xfId="0" applyFont="1" applyBorder="1" applyAlignment="1">
      <alignment vertical="top" wrapText="1"/>
    </xf>
    <xf numFmtId="0" fontId="22" fillId="16" borderId="29" xfId="0" applyFont="1" applyFill="1" applyBorder="1"/>
    <xf numFmtId="0" fontId="22" fillId="13" borderId="29" xfId="0" applyFont="1" applyFill="1" applyBorder="1"/>
    <xf numFmtId="0" fontId="22" fillId="15" borderId="29" xfId="0" applyFont="1" applyFill="1" applyBorder="1"/>
    <xf numFmtId="0" fontId="22" fillId="14" borderId="13" xfId="0" applyFont="1" applyFill="1" applyBorder="1"/>
    <xf numFmtId="0" fontId="37" fillId="5" borderId="13" xfId="0" applyFont="1" applyFill="1" applyBorder="1" applyProtection="1">
      <protection locked="0"/>
    </xf>
    <xf numFmtId="0" fontId="37" fillId="5" borderId="3" xfId="0" applyFont="1" applyFill="1" applyBorder="1" applyProtection="1">
      <protection locked="0"/>
    </xf>
    <xf numFmtId="164" fontId="37" fillId="5" borderId="3" xfId="0" applyNumberFormat="1" applyFont="1" applyFill="1" applyBorder="1" applyProtection="1">
      <protection locked="0"/>
    </xf>
    <xf numFmtId="0" fontId="38" fillId="5" borderId="16" xfId="0" applyFont="1" applyFill="1" applyBorder="1" applyProtection="1">
      <protection locked="0"/>
    </xf>
    <xf numFmtId="0" fontId="38" fillId="5" borderId="13" xfId="0" applyFont="1" applyFill="1" applyBorder="1" applyProtection="1">
      <protection locked="0"/>
    </xf>
    <xf numFmtId="164" fontId="38" fillId="4" borderId="13" xfId="0" applyNumberFormat="1" applyFont="1" applyFill="1" applyBorder="1" applyProtection="1">
      <protection locked="0"/>
    </xf>
    <xf numFmtId="0" fontId="38" fillId="5" borderId="15" xfId="0" applyFont="1" applyFill="1" applyBorder="1" applyProtection="1">
      <protection locked="0"/>
    </xf>
    <xf numFmtId="0" fontId="38" fillId="5" borderId="3" xfId="0" applyFont="1" applyFill="1" applyBorder="1" applyProtection="1">
      <protection locked="0"/>
    </xf>
    <xf numFmtId="164" fontId="38" fillId="5" borderId="3" xfId="0" applyNumberFormat="1" applyFont="1" applyFill="1" applyBorder="1" applyProtection="1">
      <protection locked="0"/>
    </xf>
    <xf numFmtId="164" fontId="38" fillId="4" borderId="3" xfId="0" applyNumberFormat="1" applyFont="1" applyFill="1" applyBorder="1" applyProtection="1">
      <protection locked="0"/>
    </xf>
    <xf numFmtId="0" fontId="38" fillId="5" borderId="5" xfId="0" applyFont="1" applyFill="1" applyBorder="1" applyProtection="1">
      <protection locked="0"/>
    </xf>
    <xf numFmtId="0" fontId="38" fillId="5" borderId="12" xfId="0" applyFont="1" applyFill="1" applyBorder="1" applyProtection="1">
      <protection locked="0"/>
    </xf>
    <xf numFmtId="164" fontId="38" fillId="5" borderId="12" xfId="0" applyNumberFormat="1" applyFont="1" applyFill="1" applyBorder="1" applyProtection="1">
      <protection locked="0"/>
    </xf>
    <xf numFmtId="164" fontId="38" fillId="4" borderId="12" xfId="0" applyNumberFormat="1" applyFont="1" applyFill="1" applyBorder="1" applyProtection="1">
      <protection locked="0"/>
    </xf>
    <xf numFmtId="164" fontId="37" fillId="5" borderId="13" xfId="0" applyNumberFormat="1" applyFont="1" applyFill="1" applyBorder="1" applyProtection="1">
      <protection locked="0"/>
    </xf>
    <xf numFmtId="164" fontId="18" fillId="17" borderId="3" xfId="0" applyNumberFormat="1" applyFont="1" applyFill="1" applyBorder="1" applyAlignment="1">
      <alignment horizontal="right" vertical="center"/>
    </xf>
    <xf numFmtId="0" fontId="18" fillId="17" borderId="3" xfId="0" applyFont="1" applyFill="1" applyBorder="1" applyAlignment="1">
      <alignment horizontal="right" vertical="center"/>
    </xf>
    <xf numFmtId="164" fontId="16" fillId="5" borderId="25" xfId="0" applyNumberFormat="1" applyFont="1" applyFill="1" applyBorder="1" applyAlignment="1" applyProtection="1">
      <alignment vertical="center"/>
      <protection locked="0"/>
    </xf>
    <xf numFmtId="164" fontId="16" fillId="5" borderId="18" xfId="0" applyNumberFormat="1" applyFont="1" applyFill="1" applyBorder="1" applyAlignment="1" applyProtection="1">
      <alignment vertical="center"/>
      <protection locked="0"/>
    </xf>
    <xf numFmtId="164" fontId="39" fillId="5" borderId="30" xfId="0" applyNumberFormat="1" applyFont="1" applyFill="1" applyBorder="1" applyProtection="1">
      <protection locked="0"/>
    </xf>
    <xf numFmtId="164" fontId="39" fillId="5" borderId="31" xfId="0" applyNumberFormat="1" applyFont="1" applyFill="1" applyBorder="1" applyProtection="1">
      <protection locked="0"/>
    </xf>
    <xf numFmtId="0" fontId="0" fillId="10" borderId="0" xfId="0" applyFill="1"/>
    <xf numFmtId="164" fontId="40" fillId="5" borderId="6" xfId="1" applyNumberFormat="1" applyFill="1" applyBorder="1" applyProtection="1">
      <protection locked="0"/>
    </xf>
    <xf numFmtId="166" fontId="22" fillId="11" borderId="3" xfId="0" applyNumberFormat="1" applyFont="1" applyFill="1" applyBorder="1" applyAlignment="1">
      <alignment horizontal="center" vertical="center"/>
    </xf>
    <xf numFmtId="167" fontId="16" fillId="17" borderId="3" xfId="0" applyNumberFormat="1" applyFont="1" applyFill="1" applyBorder="1" applyAlignment="1">
      <alignment vertical="center"/>
    </xf>
    <xf numFmtId="167" fontId="16" fillId="17" borderId="25" xfId="0" applyNumberFormat="1" applyFont="1" applyFill="1" applyBorder="1" applyAlignment="1">
      <alignment vertical="center"/>
    </xf>
    <xf numFmtId="167" fontId="16" fillId="17" borderId="18" xfId="0" applyNumberFormat="1" applyFont="1" applyFill="1" applyBorder="1" applyAlignment="1">
      <alignment vertical="center"/>
    </xf>
    <xf numFmtId="0" fontId="29" fillId="11" borderId="15" xfId="0" applyFont="1" applyFill="1" applyBorder="1" applyAlignment="1">
      <alignment horizontal="center" vertical="center"/>
    </xf>
    <xf numFmtId="168" fontId="43" fillId="13" borderId="35" xfId="0" applyNumberFormat="1" applyFont="1" applyFill="1" applyBorder="1" applyAlignment="1">
      <alignment horizontal="center" vertical="center" wrapText="1"/>
    </xf>
    <xf numFmtId="168" fontId="43" fillId="13" borderId="36" xfId="0" applyNumberFormat="1" applyFont="1" applyFill="1" applyBorder="1" applyAlignment="1">
      <alignment horizontal="center" vertical="center" wrapText="1"/>
    </xf>
    <xf numFmtId="0" fontId="24" fillId="12" borderId="6" xfId="0" applyFont="1" applyFill="1" applyBorder="1" applyAlignment="1">
      <alignment horizontal="left" vertical="center"/>
    </xf>
    <xf numFmtId="0" fontId="41" fillId="10" borderId="7" xfId="0" applyFont="1" applyFill="1" applyBorder="1" applyAlignment="1">
      <alignment horizontal="center" vertical="center"/>
    </xf>
    <xf numFmtId="0" fontId="41" fillId="10" borderId="8" xfId="0" applyFont="1" applyFill="1" applyBorder="1" applyAlignment="1">
      <alignment horizontal="center" vertical="center"/>
    </xf>
    <xf numFmtId="0" fontId="41" fillId="10" borderId="9" xfId="0" applyFont="1" applyFill="1" applyBorder="1" applyAlignment="1">
      <alignment horizontal="center" vertical="center"/>
    </xf>
    <xf numFmtId="0" fontId="41" fillId="10" borderId="10" xfId="0" applyFont="1" applyFill="1" applyBorder="1" applyAlignment="1">
      <alignment horizontal="center" vertical="center"/>
    </xf>
    <xf numFmtId="0" fontId="41" fillId="10" borderId="0" xfId="0" applyFont="1" applyFill="1" applyAlignment="1">
      <alignment horizontal="center" vertical="center"/>
    </xf>
    <xf numFmtId="0" fontId="41" fillId="10" borderId="11" xfId="0" applyFont="1" applyFill="1" applyBorder="1" applyAlignment="1">
      <alignment horizontal="center" vertical="center"/>
    </xf>
    <xf numFmtId="0" fontId="28" fillId="11" borderId="14" xfId="0" applyFont="1" applyFill="1" applyBorder="1" applyAlignment="1">
      <alignment horizontal="center" vertical="center"/>
    </xf>
    <xf numFmtId="0" fontId="28" fillId="11" borderId="15" xfId="0" applyFont="1" applyFill="1" applyBorder="1" applyAlignment="1">
      <alignment horizontal="center" vertical="center"/>
    </xf>
    <xf numFmtId="0" fontId="28" fillId="11" borderId="30" xfId="0" applyFont="1" applyFill="1" applyBorder="1" applyAlignment="1">
      <alignment horizontal="center" vertical="center"/>
    </xf>
    <xf numFmtId="0" fontId="27" fillId="11" borderId="14" xfId="0" applyFont="1" applyFill="1" applyBorder="1" applyAlignment="1">
      <alignment horizontal="center" vertical="center"/>
    </xf>
    <xf numFmtId="0" fontId="27" fillId="11" borderId="15" xfId="0" applyFont="1" applyFill="1" applyBorder="1" applyAlignment="1">
      <alignment horizontal="center" vertical="center"/>
    </xf>
    <xf numFmtId="0" fontId="27" fillId="11" borderId="30" xfId="0" applyFont="1" applyFill="1" applyBorder="1" applyAlignment="1">
      <alignment horizontal="center" vertical="center"/>
    </xf>
    <xf numFmtId="0" fontId="26" fillId="11" borderId="14" xfId="0" applyFont="1" applyFill="1" applyBorder="1" applyAlignment="1">
      <alignment horizontal="center" vertical="center"/>
    </xf>
    <xf numFmtId="0" fontId="26" fillId="11" borderId="30" xfId="0" applyFont="1" applyFill="1" applyBorder="1" applyAlignment="1">
      <alignment horizontal="center" vertical="center"/>
    </xf>
    <xf numFmtId="0" fontId="23" fillId="11" borderId="12" xfId="0" applyFont="1" applyFill="1" applyBorder="1" applyAlignment="1">
      <alignment horizontal="center" vertical="center"/>
    </xf>
    <xf numFmtId="0" fontId="23" fillId="11" borderId="16" xfId="0" applyFont="1" applyFill="1" applyBorder="1" applyAlignment="1">
      <alignment horizontal="center" vertical="center"/>
    </xf>
    <xf numFmtId="0" fontId="26" fillId="11" borderId="5" xfId="0" applyFont="1" applyFill="1" applyBorder="1" applyAlignment="1">
      <alignment horizontal="center" vertical="center"/>
    </xf>
    <xf numFmtId="0" fontId="26" fillId="11" borderId="16" xfId="0" applyFont="1" applyFill="1" applyBorder="1" applyAlignment="1">
      <alignment horizontal="center" vertical="center"/>
    </xf>
    <xf numFmtId="0" fontId="22" fillId="11" borderId="32" xfId="0" applyFont="1" applyFill="1" applyBorder="1" applyAlignment="1">
      <alignment horizontal="left" vertical="center" wrapText="1"/>
    </xf>
    <xf numFmtId="0" fontId="22" fillId="11" borderId="0" xfId="0" applyFont="1" applyFill="1" applyAlignment="1">
      <alignment horizontal="left" vertical="center" wrapText="1"/>
    </xf>
    <xf numFmtId="0" fontId="22" fillId="11" borderId="33" xfId="0" applyFont="1" applyFill="1" applyBorder="1" applyAlignment="1">
      <alignment horizontal="left" vertical="center" wrapText="1"/>
    </xf>
    <xf numFmtId="0" fontId="22" fillId="11" borderId="4" xfId="0" applyFont="1" applyFill="1" applyBorder="1" applyAlignment="1">
      <alignment horizontal="left" vertical="center" wrapText="1"/>
    </xf>
    <xf numFmtId="0" fontId="22" fillId="11" borderId="31" xfId="0" applyFont="1" applyFill="1" applyBorder="1" applyAlignment="1">
      <alignment horizontal="left" vertical="center" wrapText="1"/>
    </xf>
    <xf numFmtId="0" fontId="22" fillId="11" borderId="5" xfId="0" applyFont="1" applyFill="1" applyBorder="1" applyAlignment="1">
      <alignment horizontal="left" vertical="center" wrapText="1"/>
    </xf>
    <xf numFmtId="0" fontId="22" fillId="11" borderId="13" xfId="0" applyFont="1" applyFill="1" applyBorder="1" applyAlignment="1">
      <alignment horizontal="left" vertical="center" wrapText="1"/>
    </xf>
    <xf numFmtId="0" fontId="42" fillId="13" borderId="34" xfId="0" applyFont="1" applyFill="1" applyBorder="1" applyAlignment="1">
      <alignment horizontal="center" vertical="center" wrapText="1"/>
    </xf>
    <xf numFmtId="0" fontId="42" fillId="13" borderId="36" xfId="0" applyFont="1" applyFill="1" applyBorder="1" applyAlignment="1">
      <alignment horizontal="center" vertical="center" wrapText="1"/>
    </xf>
    <xf numFmtId="0" fontId="3" fillId="2" borderId="0" xfId="0" applyFont="1" applyFill="1"/>
    <xf numFmtId="0" fontId="0" fillId="0" borderId="0" xfId="0"/>
    <xf numFmtId="0" fontId="16" fillId="17" borderId="3" xfId="0" applyFont="1" applyFill="1" applyBorder="1" applyAlignment="1">
      <alignment horizontal="center" vertical="center"/>
    </xf>
    <xf numFmtId="0" fontId="16" fillId="17" borderId="3" xfId="0" applyFont="1" applyFill="1" applyBorder="1"/>
    <xf numFmtId="0" fontId="14" fillId="17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5" fillId="10" borderId="3" xfId="0" applyFont="1" applyFill="1" applyBorder="1" applyAlignment="1">
      <alignment vertical="center"/>
    </xf>
    <xf numFmtId="0" fontId="6" fillId="17" borderId="2" xfId="0" applyFont="1" applyFill="1" applyBorder="1" applyAlignment="1">
      <alignment horizontal="center" vertical="center"/>
    </xf>
    <xf numFmtId="0" fontId="0" fillId="17" borderId="0" xfId="0" applyFill="1"/>
    <xf numFmtId="0" fontId="17" fillId="9" borderId="0" xfId="0" applyFont="1" applyFill="1" applyAlignment="1">
      <alignment horizontal="center" vertical="center"/>
    </xf>
    <xf numFmtId="0" fontId="1" fillId="9" borderId="0" xfId="0" applyFont="1" applyFill="1"/>
    <xf numFmtId="0" fontId="33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vertical="center"/>
    </xf>
    <xf numFmtId="0" fontId="35" fillId="10" borderId="0" xfId="0" applyFont="1" applyFill="1" applyAlignment="1">
      <alignment vertical="center"/>
    </xf>
    <xf numFmtId="0" fontId="20" fillId="10" borderId="12" xfId="0" applyFont="1" applyFill="1" applyBorder="1" applyAlignment="1">
      <alignment horizontal="center" vertical="center"/>
    </xf>
    <xf numFmtId="0" fontId="12" fillId="10" borderId="12" xfId="0" applyFont="1" applyFill="1" applyBorder="1"/>
    <xf numFmtId="0" fontId="20" fillId="10" borderId="21" xfId="0" applyFont="1" applyFill="1" applyBorder="1" applyAlignment="1">
      <alignment horizontal="center" vertical="center"/>
    </xf>
    <xf numFmtId="0" fontId="16" fillId="10" borderId="22" xfId="0" applyFont="1" applyFill="1" applyBorder="1"/>
    <xf numFmtId="0" fontId="16" fillId="10" borderId="23" xfId="0" applyFont="1" applyFill="1" applyBorder="1"/>
    <xf numFmtId="0" fontId="32" fillId="10" borderId="0" xfId="0" applyFont="1" applyFill="1" applyAlignment="1">
      <alignment horizontal="center" vertical="center"/>
    </xf>
    <xf numFmtId="0" fontId="30" fillId="5" borderId="2" xfId="0" applyFont="1" applyFill="1" applyBorder="1" applyAlignment="1">
      <alignment horizontal="center" vertical="center"/>
    </xf>
    <xf numFmtId="0" fontId="31" fillId="5" borderId="0" xfId="0" applyFont="1" applyFill="1"/>
    <xf numFmtId="14" fontId="9" fillId="17" borderId="2" xfId="0" applyNumberFormat="1" applyFont="1" applyFill="1" applyBorder="1" applyAlignment="1">
      <alignment horizontal="center" vertical="center"/>
    </xf>
    <xf numFmtId="14" fontId="9" fillId="17" borderId="0" xfId="0" applyNumberFormat="1" applyFont="1" applyFill="1"/>
    <xf numFmtId="0" fontId="30" fillId="5" borderId="2" xfId="0" applyFont="1" applyFill="1" applyBorder="1" applyAlignment="1">
      <alignment horizontal="center" vertical="center" wrapText="1"/>
    </xf>
    <xf numFmtId="168" fontId="13" fillId="17" borderId="2" xfId="0" applyNumberFormat="1" applyFont="1" applyFill="1" applyBorder="1" applyAlignment="1">
      <alignment horizontal="center" vertical="center"/>
    </xf>
    <xf numFmtId="168" fontId="9" fillId="17" borderId="0" xfId="0" applyNumberFormat="1" applyFont="1" applyFill="1"/>
    <xf numFmtId="168" fontId="13" fillId="17" borderId="2" xfId="0" applyNumberFormat="1" applyFont="1" applyFill="1" applyBorder="1" applyAlignment="1">
      <alignment horizontal="center" vertical="center" wrapText="1"/>
    </xf>
  </cellXfs>
  <cellStyles count="2">
    <cellStyle name="Lien hypertexte" xfId="1" builtinId="8"/>
    <cellStyle name="Normal" xfId="0" builtinId="0"/>
  </cellStyles>
  <dxfs count="40">
    <dxf>
      <border diagonalUp="0" diagonalDown="0">
        <left style="thin">
          <color rgb="FFE0D6CD"/>
        </left>
        <right style="thin">
          <color rgb="FFE0D6CD"/>
        </right>
        <top/>
        <bottom/>
        <vertical style="thin">
          <color rgb="FFE0D6CD"/>
        </vertical>
        <horizontal style="thin">
          <color rgb="FFE0D6CD"/>
        </horizontal>
      </border>
    </dxf>
    <dxf>
      <font>
        <strike val="0"/>
        <condense val="0"/>
        <extend val="0"/>
        <outline val="0"/>
        <shadow val="0"/>
        <u val="none"/>
        <vertAlign val="baseline"/>
        <sz val="9"/>
        <color rgb="FF0000FF"/>
        <name val="Arial"/>
        <scheme val="none"/>
      </font>
      <numFmt numFmtId="164" formatCode="#,##0.00\ \€;[Red]\(#,##0.00\ \€\);\-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rgb="FFE0D6CD"/>
        </top>
        <bottom style="thin">
          <color rgb="FFE0D6CD"/>
        </bottom>
      </border>
      <protection locked="0" hidden="0"/>
    </dxf>
    <dxf>
      <font>
        <strike val="0"/>
        <condense val="0"/>
        <extend val="0"/>
        <outline val="0"/>
        <shadow val="0"/>
        <u val="none"/>
        <vertAlign val="baseline"/>
        <sz val="9"/>
        <color rgb="FF0000FF"/>
        <name val="Arial"/>
        <scheme val="none"/>
      </font>
      <numFmt numFmtId="164" formatCode="#,##0.00\ \€;[Red]\(#,##0.00\ \€\);\-"/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rgb="FFE0D6CD"/>
        </top>
        <bottom style="thin">
          <color rgb="FFE0D6CD"/>
        </bottom>
      </border>
      <protection locked="0" hidden="0"/>
    </dxf>
    <dxf>
      <border diagonalUp="0" diagonalDown="0">
        <left style="thin">
          <color rgb="FFE0D6CD"/>
        </left>
        <right style="thin">
          <color rgb="FFE0D6CD"/>
        </right>
        <top/>
        <bottom/>
        <vertical style="thin">
          <color rgb="FFE0D6CD"/>
        </vertical>
        <horizontal style="thin">
          <color rgb="FFE0D6CD"/>
        </horizontal>
      </border>
    </dxf>
    <dxf>
      <font>
        <strike val="0"/>
        <outline val="0"/>
        <shadow val="0"/>
        <u val="none"/>
        <vertAlign val="baseline"/>
        <sz val="9"/>
        <color rgb="FF0000FF"/>
        <name val="Arial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rgb="FF9B4349"/>
        </bottom>
      </border>
    </dxf>
    <dxf>
      <font>
        <strike val="0"/>
        <outline val="0"/>
        <shadow val="0"/>
        <u val="none"/>
        <vertAlign val="baseline"/>
        <sz val="8"/>
        <color theme="0"/>
        <name val="Arial"/>
        <scheme val="none"/>
      </font>
      <fill>
        <patternFill patternType="solid">
          <fgColor indexed="64"/>
          <bgColor rgb="FF8D3D43"/>
        </patternFill>
      </fill>
      <alignment wrapText="1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solid">
          <fgColor indexed="64"/>
          <bgColor rgb="FFE7E0D9"/>
        </patternFill>
      </fill>
      <border diagonalUp="0" diagonalDown="0" outline="0">
        <left style="thin">
          <color rgb="FFE0D6CD"/>
        </left>
        <right/>
        <top style="thin">
          <color rgb="FFE0D6CD"/>
        </top>
        <bottom style="thin">
          <color rgb="FFE0D6CD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border diagonalUp="0" diagonalDown="0" outline="0">
        <left style="thin">
          <color rgb="FFE0D6CD"/>
        </left>
        <right style="thin">
          <color rgb="FFE0D6CD"/>
        </right>
        <top style="thin">
          <color rgb="FFE0D6CD"/>
        </top>
        <bottom style="thin">
          <color rgb="FFE0D6CD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border diagonalUp="0" diagonalDown="0" outline="0">
        <left style="thin">
          <color rgb="FFE0D6CD"/>
        </left>
        <right style="thin">
          <color rgb="FFE0D6CD"/>
        </right>
        <top style="thin">
          <color rgb="FFE0D6CD"/>
        </top>
        <bottom style="thin">
          <color rgb="FFE0D6CD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border diagonalUp="0" diagonalDown="0" outline="0">
        <left style="thin">
          <color rgb="FFE0D6CD"/>
        </left>
        <right style="thin">
          <color rgb="FFE0D6CD"/>
        </right>
        <top style="thin">
          <color rgb="FFE0D6CD"/>
        </top>
        <bottom style="thin">
          <color rgb="FFE0D6CD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border diagonalUp="0" diagonalDown="0" outline="0">
        <left style="thin">
          <color rgb="FFE0D6CD"/>
        </left>
        <right style="thin">
          <color rgb="FFE0D6CD"/>
        </right>
        <top style="thin">
          <color rgb="FFE0D6CD"/>
        </top>
        <bottom style="thin">
          <color rgb="FFE0D6CD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rgb="FFE0D6CD"/>
        </left>
        <right style="thin">
          <color rgb="FFE0D6CD"/>
        </right>
        <top style="thin">
          <color rgb="FFE0D6CD"/>
        </top>
        <bottom style="thin">
          <color rgb="FFE0D6CD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rgb="FFE0D6CD"/>
        </left>
        <right style="thin">
          <color rgb="FFE0D6CD"/>
        </right>
        <top style="thin">
          <color rgb="FFE0D6CD"/>
        </top>
        <bottom style="thin">
          <color rgb="FFE0D6CD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rgb="FFE0D6CD"/>
        </left>
        <right style="thin">
          <color rgb="FFE0D6CD"/>
        </right>
        <top style="thin">
          <color rgb="FFE0D6CD"/>
        </top>
        <bottom style="thin">
          <color rgb="FFE0D6CD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rgb="FFE0D6CD"/>
        </left>
        <right style="thin">
          <color rgb="FFE0D6CD"/>
        </right>
        <top style="thin">
          <color rgb="FFE0D6CD"/>
        </top>
        <bottom style="thin">
          <color rgb="FFE0D6CD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rgb="FFE0D6CD"/>
        </left>
        <right style="thin">
          <color rgb="FFE0D6CD"/>
        </right>
        <top style="thin">
          <color rgb="FFE0D6CD"/>
        </top>
        <bottom style="thin">
          <color rgb="FFE0D6CD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rgb="FFE0D6CD"/>
        </right>
        <top style="thin">
          <color rgb="FFE0D6CD"/>
        </top>
        <bottom style="thin">
          <color rgb="FFE0D6CD"/>
        </bottom>
      </border>
    </dxf>
    <dxf>
      <border diagonalUp="0" diagonalDown="0">
        <left style="thin">
          <color rgb="FFE0D6CD"/>
        </left>
        <right style="thin">
          <color rgb="FFE0D6CD"/>
        </right>
        <top/>
        <bottom/>
        <vertical style="thin">
          <color rgb="FFE0D6CD"/>
        </vertical>
        <horizontal style="thin">
          <color rgb="FFE0D6CD"/>
        </horizontal>
      </border>
    </dxf>
    <dxf>
      <border diagonalUp="0" diagonalDown="0">
        <left style="thin">
          <color rgb="FFE0D6CD"/>
        </left>
        <right style="thin">
          <color rgb="FFE0D6CD"/>
        </right>
        <top style="thin">
          <color rgb="FFE0D6CD"/>
        </top>
        <bottom style="thin">
          <color rgb="FFE0D6CD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strike val="0"/>
        <outline val="0"/>
        <shadow val="0"/>
        <u val="none"/>
        <vertAlign val="baseline"/>
        <sz val="8"/>
        <color theme="0"/>
        <name val="Arial"/>
        <scheme val="none"/>
      </font>
      <fill>
        <patternFill patternType="solid">
          <fgColor indexed="64"/>
          <bgColor rgb="FF8D3D43"/>
        </patternFill>
      </fill>
      <alignment wrapText="1"/>
      <border diagonalUp="0" diagonalDown="0" outline="0">
        <left style="thin">
          <color rgb="FF9B4349"/>
        </left>
        <right style="thin">
          <color rgb="FF9B4349"/>
        </right>
        <top/>
        <bottom/>
      </border>
    </dxf>
    <dxf>
      <font>
        <color rgb="FFFFFFFF"/>
      </font>
      <fill>
        <patternFill patternType="solid">
          <fgColor rgb="FFC00000"/>
          <bgColor rgb="FFC00000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sz val="10"/>
        <color rgb="FFFFFFFF"/>
        <name val="Calibri"/>
      </font>
      <fill>
        <patternFill patternType="solid">
          <fgColor rgb="FFC00000"/>
          <bgColor rgb="FFC00000"/>
        </patternFill>
      </fill>
    </dxf>
    <dxf>
      <font>
        <sz val="10"/>
        <color rgb="FFFFFFFF"/>
        <name val="Calibri"/>
      </font>
      <fill>
        <patternFill patternType="solid">
          <fgColor rgb="FF00B050"/>
          <bgColor rgb="FF00B050"/>
        </patternFill>
      </fill>
    </dxf>
    <dxf>
      <font>
        <sz val="10"/>
        <color rgb="FFFFFFFF"/>
        <name val="Calibri"/>
      </font>
      <fill>
        <patternFill patternType="solid">
          <fgColor rgb="FFC00000"/>
          <bgColor rgb="FFC00000"/>
        </patternFill>
      </fill>
    </dxf>
    <dxf>
      <font>
        <sz val="10"/>
        <color rgb="FFFFFFFF"/>
        <name val="Calibri"/>
      </font>
      <fill>
        <patternFill patternType="solid">
          <fgColor rgb="FF00B050"/>
          <bgColor rgb="FF00B050"/>
        </patternFill>
      </fill>
    </dxf>
    <dxf>
      <font>
        <sz val="10"/>
        <color rgb="FFFFFFFF"/>
        <name val="Calibri"/>
      </font>
      <fill>
        <patternFill patternType="solid">
          <fgColor rgb="FFC00000"/>
          <bgColor rgb="FFC00000"/>
        </patternFill>
      </fill>
    </dxf>
    <dxf>
      <font>
        <sz val="10"/>
        <color rgb="FFFFFFFF"/>
        <name val="Calibri"/>
      </font>
      <fill>
        <patternFill patternType="solid">
          <fgColor rgb="FF00B050"/>
          <bgColor rgb="FF00B050"/>
        </patternFill>
      </fill>
    </dxf>
    <dxf>
      <font>
        <sz val="10"/>
        <color rgb="FFFFFFFF"/>
        <name val="Calibri"/>
      </font>
      <fill>
        <patternFill patternType="solid">
          <fgColor rgb="FFC00000"/>
          <bgColor rgb="FFC00000"/>
        </patternFill>
      </fill>
    </dxf>
    <dxf>
      <font>
        <sz val="10"/>
        <color rgb="FFFFFFFF"/>
        <name val="Calibri"/>
      </font>
      <fill>
        <patternFill patternType="solid">
          <fgColor rgb="FF00B050"/>
          <bgColor rgb="FF00B050"/>
        </patternFill>
      </fill>
    </dxf>
    <dxf>
      <font>
        <color rgb="FFD08F2B"/>
      </font>
      <fill>
        <patternFill>
          <bgColor rgb="FFFFF6E2"/>
        </patternFill>
      </fill>
    </dxf>
    <dxf>
      <font>
        <color rgb="FFBD3B3B"/>
      </font>
      <fill>
        <patternFill>
          <bgColor rgb="FFFAE8E8"/>
        </patternFill>
      </fill>
    </dxf>
    <dxf>
      <font>
        <color rgb="FF35915C"/>
      </font>
      <fill>
        <patternFill>
          <bgColor rgb="FFE5F2E9"/>
        </patternFill>
      </fill>
    </dxf>
    <dxf>
      <font>
        <color rgb="FFBD3B3B"/>
      </font>
      <fill>
        <patternFill>
          <bgColor rgb="FFBD3B3B"/>
        </patternFill>
      </fill>
    </dxf>
    <dxf>
      <font>
        <color rgb="FFBD3B3B"/>
      </font>
      <fill>
        <patternFill>
          <bgColor rgb="FFFAE8E8"/>
        </patternFill>
      </fill>
    </dxf>
    <dxf>
      <font>
        <color rgb="FF35915C"/>
      </font>
      <fill>
        <patternFill>
          <bgColor rgb="FFE5F2E9"/>
        </patternFill>
      </fill>
    </dxf>
    <dxf>
      <font>
        <color rgb="FFBD3B3B"/>
      </font>
      <fill>
        <patternFill>
          <bgColor rgb="FFBD3B3B"/>
        </patternFill>
      </fill>
    </dxf>
    <dxf>
      <font>
        <color rgb="FF35915C"/>
      </font>
      <fill>
        <patternFill>
          <bgColor rgb="FF35915C"/>
        </patternFill>
      </fill>
    </dxf>
  </dxfs>
  <tableStyles count="0" defaultTableStyle="TableStyleMedium9" defaultPivotStyle="PivotStyleLight16"/>
  <colors>
    <mruColors>
      <color rgb="FF651E25"/>
      <color rgb="FFC3AF9D"/>
      <color rgb="FFE9DEC9"/>
      <color rgb="FFE0D6CD"/>
      <color rgb="FFF7F3EB"/>
      <color rgb="FFE7E0D9"/>
      <color rgb="FFFFFCF7"/>
      <color rgb="FF9B4349"/>
      <color rgb="FF8D3D43"/>
      <color rgb="FF9800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89606</xdr:colOff>
      <xdr:row>2</xdr:row>
      <xdr:rowOff>275874</xdr:rowOff>
    </xdr:from>
    <xdr:to>
      <xdr:col>4</xdr:col>
      <xdr:colOff>563351</xdr:colOff>
      <xdr:row>5</xdr:row>
      <xdr:rowOff>132293</xdr:rowOff>
    </xdr:to>
    <xdr:pic>
      <xdr:nvPicPr>
        <xdr:cNvPr id="2" name="LogoAccueil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0828" y="924985"/>
          <a:ext cx="2548079" cy="787752"/>
        </a:xfrm>
        <a:prstGeom prst="rect">
          <a:avLst/>
        </a:prstGeom>
      </xdr:spPr>
    </xdr:pic>
    <xdr:clientData/>
  </xdr:twoCellAnchor>
  <xdr:twoCellAnchor>
    <xdr:from>
      <xdr:col>2</xdr:col>
      <xdr:colOff>133351</xdr:colOff>
      <xdr:row>5</xdr:row>
      <xdr:rowOff>191909</xdr:rowOff>
    </xdr:from>
    <xdr:to>
      <xdr:col>4</xdr:col>
      <xdr:colOff>536222</xdr:colOff>
      <xdr:row>7</xdr:row>
      <xdr:rowOff>155221</xdr:rowOff>
    </xdr:to>
    <xdr:sp macro="[0]!NouveauJourCaisse" textlink="">
      <xdr:nvSpPr>
        <xdr:cNvPr id="3" name="btnAjouterCaisseAccueil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170518" y="1779409"/>
          <a:ext cx="2233787" cy="619479"/>
        </a:xfrm>
        <a:prstGeom prst="roundRect">
          <a:avLst/>
        </a:prstGeom>
        <a:solidFill>
          <a:srgbClr val="35915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rgbClr val="35915C"/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rgbClr val="FFFFFF"/>
              </a:solidFill>
              <a:latin typeface="Aptos"/>
            </a:rPr>
            <a:t>AJOUTER UNE CAISSE</a:t>
          </a:r>
        </a:p>
      </xdr:txBody>
    </xdr:sp>
    <xdr:clientData/>
  </xdr:twoCellAnchor>
  <xdr:twoCellAnchor>
    <xdr:from>
      <xdr:col>12</xdr:col>
      <xdr:colOff>529709</xdr:colOff>
      <xdr:row>7</xdr:row>
      <xdr:rowOff>269521</xdr:rowOff>
    </xdr:from>
    <xdr:to>
      <xdr:col>13</xdr:col>
      <xdr:colOff>1405141</xdr:colOff>
      <xdr:row>8</xdr:row>
      <xdr:rowOff>274080</xdr:rowOff>
    </xdr:to>
    <xdr:sp macro="[0]!RafraichirReportsCaisse" textlink="">
      <xdr:nvSpPr>
        <xdr:cNvPr id="15" name="shpRafraichirReports">
          <a:extLst>
            <a:ext uri="{FF2B5EF4-FFF2-40B4-BE49-F238E27FC236}">
              <a16:creationId xmlns:a16="http://schemas.microsoft.com/office/drawing/2014/main" id="{11A0A9B7-B6B2-E262-47DA-7F3F752DBAB7}"/>
            </a:ext>
          </a:extLst>
        </xdr:cNvPr>
        <xdr:cNvSpPr/>
      </xdr:nvSpPr>
      <xdr:spPr>
        <a:xfrm>
          <a:off x="11666632" y="2505589"/>
          <a:ext cx="1841500" cy="330200"/>
        </a:xfrm>
        <a:prstGeom prst="roundRect">
          <a:avLst>
            <a:gd name="adj" fmla="val 15000"/>
          </a:avLst>
        </a:prstGeom>
        <a:solidFill>
          <a:srgbClr val="97002E"/>
        </a:solidFill>
        <a:ln w="19050">
          <a:solidFill>
            <a:srgbClr val="9700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50800" rIns="101600" bIns="50800" rtlCol="0" anchor="ctr"/>
        <a:lstStyle/>
        <a:p>
          <a:pPr algn="ctr"/>
          <a:r>
            <a:rPr lang="fr-FR" sz="1200" b="1">
              <a:solidFill>
                <a:srgbClr val="FFFFFF"/>
              </a:solidFill>
              <a:latin typeface="Calibri" panose="020F0502020204030204" pitchFamily="34" charset="0"/>
            </a:rPr>
            <a:t>RAFRAICHIR LES CAISSES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</xdr:colOff>
      <xdr:row>0</xdr:row>
      <xdr:rowOff>47624</xdr:rowOff>
    </xdr:from>
    <xdr:to>
      <xdr:col>3</xdr:col>
      <xdr:colOff>786875</xdr:colOff>
      <xdr:row>1</xdr:row>
      <xdr:rowOff>133349</xdr:rowOff>
    </xdr:to>
    <xdr:pic>
      <xdr:nvPicPr>
        <xdr:cNvPr id="3" name="LogoAccuei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875" y="47624"/>
          <a:ext cx="1644125" cy="5619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</xdr:row>
      <xdr:rowOff>0</xdr:rowOff>
    </xdr:from>
    <xdr:to>
      <xdr:col>17</xdr:col>
      <xdr:colOff>0</xdr:colOff>
      <xdr:row>9</xdr:row>
      <xdr:rowOff>0</xdr:rowOff>
    </xdr:to>
    <xdr:sp macro="[0]!AjouterJustificatifSortie" textlink="">
      <xdr:nvSpPr>
        <xdr:cNvPr id="2" name="btnAjouterJustificatifSorti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3068300" y="1304925"/>
          <a:ext cx="1238250" cy="381000"/>
        </a:xfrm>
        <a:prstGeom prst="rect">
          <a:avLst/>
        </a:prstGeom>
        <a:solidFill>
          <a:srgbClr val="35915C"/>
        </a:solidFill>
        <a:ln>
          <a:solidFill>
            <a:srgbClr val="35915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>
              <a:solidFill>
                <a:srgbClr val="FFFFFF"/>
              </a:solidFill>
            </a:rPr>
            <a:t>AJOUTER</a:t>
          </a:r>
          <a:r>
            <a:rPr lang="fr-FR" sz="1000" b="1">
              <a:solidFill>
                <a:srgbClr val="FFFFFF"/>
              </a:solidFill>
            </a:rPr>
            <a:t> JUSTIFICATIF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tblEncaissements" displayName="tblEncaissements" ref="C10:M40" headerRowDxfId="21" dataDxfId="20" totalsRowDxfId="18" tableBorderDxfId="19">
  <autoFilter ref="C10:M40" xr:uid="{00000000-0009-0000-0100-000001000000}"/>
  <tableColumns count="11">
    <tableColumn id="1" xr3:uid="{00000000-0010-0000-0400-000001000000}" name="NUM FACT" dataDxfId="17"/>
    <tableColumn id="2" xr3:uid="{00000000-0010-0000-0400-000002000000}" name="COMPTE" dataDxfId="16"/>
    <tableColumn id="3" xr3:uid="{00000000-0010-0000-0400-000003000000}" name="NOM" dataDxfId="15"/>
    <tableColumn id="4" xr3:uid="{00000000-0010-0000-0400-000004000000}" name="TTC" dataDxfId="14"/>
    <tableColumn id="5" xr3:uid="{00000000-0010-0000-0400-000005000000}" name="ACOMPTE" dataDxfId="13"/>
    <tableColumn id="6" xr3:uid="{00000000-0010-0000-0400-000006000000}" name="MODE" dataDxfId="12"/>
    <tableColumn id="7" xr3:uid="{00000000-0010-0000-0400-000007000000}" name="ESP" dataDxfId="11"/>
    <tableColumn id="8" xr3:uid="{00000000-0010-0000-0400-000008000000}" name="CHQ" dataDxfId="10"/>
    <tableColumn id="9" xr3:uid="{00000000-0010-0000-0400-000009000000}" name="VIR" dataDxfId="9"/>
    <tableColumn id="10" xr3:uid="{00000000-0010-0000-0400-00000A000000}" name="CB" dataDxfId="8"/>
    <tableColumn id="11" xr3:uid="{00000000-0010-0000-0400-00000B000000}" name="CONTROLE" dataDxfId="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tblSorties9" displayName="tblSorties9" ref="P10:Q40" headerRowDxfId="6" dataDxfId="4" totalsRowDxfId="3" headerRowBorderDxfId="5">
  <autoFilter ref="P10:Q40" xr:uid="{00000000-0009-0000-0100-000002000000}"/>
  <tableColumns count="2">
    <tableColumn id="17" xr3:uid="{00000000-0010-0000-0500-000011000000}" name="MONTANT" dataDxfId="2"/>
    <tableColumn id="1" xr3:uid="{00000000-0010-0000-0500-000001000000}" name="JUSTIFICATIF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AF800"/>
  <sheetViews>
    <sheetView showGridLines="0" tabSelected="1" zoomScale="117" zoomScaleNormal="100" workbookViewId="0">
      <selection activeCell="L13" sqref="L13"/>
    </sheetView>
  </sheetViews>
  <sheetFormatPr baseColWidth="10" defaultColWidth="10.6640625" defaultRowHeight="25" customHeight="1"/>
  <cols>
    <col min="1" max="1" width="10.6640625" style="9"/>
    <col min="2" max="2" width="4.6640625" style="9" customWidth="1"/>
    <col min="3" max="3" width="14.6640625" style="9" customWidth="1"/>
    <col min="4" max="4" width="12.6640625" style="9" customWidth="1"/>
    <col min="5" max="7" width="13.6640625" style="9" customWidth="1"/>
    <col min="8" max="8" width="12.6640625" style="9" customWidth="1"/>
    <col min="9" max="9" width="27.6640625" style="9" customWidth="1"/>
    <col min="10" max="10" width="3.6640625" style="9" customWidth="1"/>
    <col min="11" max="11" width="4.6640625" style="9" customWidth="1"/>
    <col min="12" max="12" width="13.6640625" style="9" customWidth="1"/>
    <col min="13" max="13" width="12.6640625" style="9" customWidth="1"/>
    <col min="14" max="14" width="20.6640625" style="9" customWidth="1"/>
    <col min="15" max="15" width="3.6640625" style="9" customWidth="1"/>
    <col min="16" max="16" width="12.6640625" style="9" customWidth="1"/>
    <col min="17" max="17" width="16.1640625" style="9" customWidth="1"/>
    <col min="18" max="18" width="12.6640625" style="9" customWidth="1"/>
    <col min="19" max="20" width="11.6640625" style="9" customWidth="1"/>
    <col min="21" max="22" width="10.6640625" style="9"/>
    <col min="23" max="25" width="12.6640625" style="9" hidden="1" customWidth="1"/>
    <col min="26" max="26" width="0" style="9" hidden="1" customWidth="1"/>
    <col min="27" max="27" width="12.5" style="9" hidden="1" customWidth="1"/>
    <col min="28" max="28" width="11.1640625" style="9" hidden="1" customWidth="1"/>
    <col min="29" max="29" width="9.83203125" style="9" hidden="1" customWidth="1"/>
    <col min="30" max="30" width="7.83203125" style="9" hidden="1" customWidth="1"/>
    <col min="31" max="31" width="6.33203125" style="9" hidden="1" customWidth="1"/>
    <col min="32" max="32" width="7" style="9" hidden="1" customWidth="1"/>
    <col min="33" max="16384" width="10.6640625" style="9"/>
  </cols>
  <sheetData>
    <row r="1" spans="2:32" ht="26" customHeight="1">
      <c r="B1" s="106" t="s">
        <v>84</v>
      </c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8"/>
      <c r="W1" s="10" t="s">
        <v>65</v>
      </c>
      <c r="X1" s="10" t="s">
        <v>66</v>
      </c>
      <c r="Y1" s="10" t="s">
        <v>67</v>
      </c>
      <c r="Z1" s="10" t="s">
        <v>68</v>
      </c>
      <c r="AA1" s="10" t="s">
        <v>62</v>
      </c>
      <c r="AB1" s="10" t="s">
        <v>69</v>
      </c>
      <c r="AC1" s="10" t="s">
        <v>70</v>
      </c>
      <c r="AD1" s="10" t="s">
        <v>71</v>
      </c>
      <c r="AE1" s="10" t="s">
        <v>64</v>
      </c>
      <c r="AF1" s="10" t="s">
        <v>72</v>
      </c>
    </row>
    <row r="2" spans="2:32" ht="26" customHeight="1">
      <c r="B2" s="109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1"/>
      <c r="W2" s="11">
        <f t="shared" ref="W2:W65" ca="1" si="0">TODAY()+365-ROW()+2</f>
        <v>46468</v>
      </c>
      <c r="X2" s="10" t="str">
        <f t="shared" ref="X2:X65" ca="1" si="1">RIGHT("0"&amp;DAY(W2),2)&amp;RIGHT("0"&amp;MONTH(W2),2)&amp;YEAR(W2)</f>
        <v>22032027</v>
      </c>
      <c r="Y2" s="10" t="b">
        <f t="shared" ref="Y2:Y65" ca="1" si="2">IFERROR(INDIRECT(CHAR(39)&amp;X2&amp;CHAR(39)&amp;"!C3")="DATE DE CAISSE",FALSE)</f>
        <v>0</v>
      </c>
      <c r="Z2" s="10" t="str">
        <f ca="1">IF(Y2,COUNTIF($Y$2:$Y2,TRUE),"")</f>
        <v/>
      </c>
      <c r="AA2" s="10" t="str">
        <f t="shared" ref="AA2:AA65" ca="1" si="3">IF($Y2,IFERROR(IF(INDIRECT(CHAR(39)&amp;$X2&amp;CHAR(39)&amp;"!P3")="VIDE","NON SAISIE",INDIRECT(CHAR(39)&amp;$X2&amp;CHAR(39)&amp;"!P3")),""),"")</f>
        <v/>
      </c>
      <c r="AB2" s="10" t="str">
        <f t="shared" ref="AB2:AB65" ca="1" si="4">IF($Y2,IFERROR(INDIRECT(CHAR(39)&amp;$X2&amp;CHAR(39)&amp;"!M59"),""),"")</f>
        <v/>
      </c>
      <c r="AC2" s="10" t="str">
        <f t="shared" ref="AC2:AC65" ca="1" si="5">IF(Y2,IFERROR(INDIRECT(CHAR(39)&amp;X2&amp;CHAR(39)&amp;"!M3"),""),"")</f>
        <v/>
      </c>
      <c r="AD2" s="10" t="str">
        <f t="shared" ref="AD2:AD65" ca="1" si="6">IF(Y2,IFERROR(INDIRECT(CHAR(39)&amp;X2&amp;CHAR(39)&amp;"!M60"),""),"")</f>
        <v/>
      </c>
      <c r="AE2" s="10" t="str">
        <f t="shared" ref="AE2:AE65" ca="1" si="7">IF($Y2,IF($AA2="OK","RAS",IF($AA2="NON SAISIE","Non saisie",IF($AC2&lt;&gt;0,"Ecart de saisie",IF($AD2&lt;&gt;0,"Ecart de caisse",IF(IFERROR(COUNTIF(INDIRECT(CHAR(39)&amp;$X2&amp;CHAR(39)&amp;"!M11:M40"),"ERREUR"),0)&gt;0,"Lignes facture",IF(IFERROR(COUNTIF(INDIRECT(CHAR(39)&amp;$X2&amp;CHAR(39)&amp;"!N47:N50"),"&lt;&gt;OK"),0)&gt;0,"Controle banque","A verifier")))))),"")</f>
        <v/>
      </c>
      <c r="AF2" s="10" t="str">
        <f ca="1">IF(AND(Y2,AA2="ERREUR"),COUNTIF($AA$2:$AA2,"ERREUR"),"")</f>
        <v/>
      </c>
    </row>
    <row r="3" spans="2:32" ht="22" customHeight="1">
      <c r="W3" s="11">
        <f t="shared" ca="1" si="0"/>
        <v>46467</v>
      </c>
      <c r="X3" s="10" t="str">
        <f t="shared" ca="1" si="1"/>
        <v>21032027</v>
      </c>
      <c r="Y3" s="10" t="b">
        <f t="shared" ca="1" si="2"/>
        <v>0</v>
      </c>
      <c r="Z3" s="10" t="str">
        <f ca="1">IF(Y3,COUNTIF($Y$2:$Y3,TRUE),"")</f>
        <v/>
      </c>
      <c r="AA3" s="10" t="str">
        <f t="shared" ca="1" si="3"/>
        <v/>
      </c>
      <c r="AB3" s="10" t="str">
        <f t="shared" ca="1" si="4"/>
        <v/>
      </c>
      <c r="AC3" s="10" t="str">
        <f t="shared" ca="1" si="5"/>
        <v/>
      </c>
      <c r="AD3" s="10" t="str">
        <f t="shared" ca="1" si="6"/>
        <v/>
      </c>
      <c r="AE3" s="10" t="str">
        <f t="shared" ca="1" si="7"/>
        <v/>
      </c>
      <c r="AF3" s="10" t="str">
        <f ca="1">IF(AND(Y3,AA3="ERREUR"),COUNTIF($AA$2:$AA3,"ERREUR"),"")</f>
        <v/>
      </c>
    </row>
    <row r="4" spans="2:32" ht="26" customHeight="1">
      <c r="F4" s="112" t="s">
        <v>54</v>
      </c>
      <c r="G4" s="113"/>
      <c r="I4" s="34" t="s">
        <v>55</v>
      </c>
      <c r="K4" s="36"/>
      <c r="L4" s="105" t="s">
        <v>73</v>
      </c>
      <c r="M4" s="105"/>
      <c r="N4" s="35"/>
      <c r="O4" s="17"/>
      <c r="W4" s="11">
        <f t="shared" ca="1" si="0"/>
        <v>46466</v>
      </c>
      <c r="X4" s="10" t="str">
        <f t="shared" ca="1" si="1"/>
        <v>20032027</v>
      </c>
      <c r="Y4" s="10" t="b">
        <f t="shared" ca="1" si="2"/>
        <v>0</v>
      </c>
      <c r="Z4" s="10" t="str">
        <f ca="1">IF(Y4,COUNTIF($Y$2:$Y4,TRUE),"")</f>
        <v/>
      </c>
      <c r="AA4" s="10" t="str">
        <f t="shared" ca="1" si="3"/>
        <v/>
      </c>
      <c r="AB4" s="10" t="str">
        <f t="shared" ca="1" si="4"/>
        <v/>
      </c>
      <c r="AC4" s="10" t="str">
        <f t="shared" ca="1" si="5"/>
        <v/>
      </c>
      <c r="AD4" s="10" t="str">
        <f t="shared" ca="1" si="6"/>
        <v/>
      </c>
      <c r="AE4" s="10" t="str">
        <f t="shared" ca="1" si="7"/>
        <v/>
      </c>
      <c r="AF4" s="10" t="str">
        <f ca="1">IF(AND(Y4,AA4="ERREUR"),COUNTIF($AA$2:$AA4,"ERREUR"),"")</f>
        <v/>
      </c>
    </row>
    <row r="5" spans="2:32" ht="26" customHeight="1">
      <c r="F5" s="115" t="str">
        <f ca="1">IFERROR(RIGHT("0"&amp;DAY(INDEX($W$2:$W$800,MATCH(1,$Z$2:$Z$800,0))),2)&amp;"/"&amp;RIGHT("0"&amp;MONTH(INDEX($W$2:$W$800,MATCH(1,$Z$2:$Z$800,0))),2)&amp;"/"&amp;YEAR(INDEX($W$2:$W$800,MATCH(1,$Z$2:$Z$800,0))),"Aucune")</f>
        <v>Aucune</v>
      </c>
      <c r="G5" s="116"/>
      <c r="I5" s="120" t="str">
        <f ca="1">IFERROR(INDEX($AA$2:$AA$800,MATCH(1,$Z$2:$Z$800,0)),"Aucune")</f>
        <v>Aucune</v>
      </c>
      <c r="K5" s="70"/>
      <c r="L5" s="127" t="s">
        <v>74</v>
      </c>
      <c r="M5" s="128"/>
      <c r="N5" s="129"/>
      <c r="O5" s="17"/>
      <c r="W5" s="11">
        <f t="shared" ca="1" si="0"/>
        <v>46465</v>
      </c>
      <c r="X5" s="10" t="str">
        <f t="shared" ca="1" si="1"/>
        <v>19032027</v>
      </c>
      <c r="Y5" s="10" t="b">
        <f t="shared" ca="1" si="2"/>
        <v>0</v>
      </c>
      <c r="Z5" s="10" t="str">
        <f ca="1">IF(Y5,COUNTIF($Y$2:$Y5,TRUE),"")</f>
        <v/>
      </c>
      <c r="AA5" s="10" t="str">
        <f t="shared" ca="1" si="3"/>
        <v/>
      </c>
      <c r="AB5" s="10" t="str">
        <f t="shared" ca="1" si="4"/>
        <v/>
      </c>
      <c r="AC5" s="10" t="str">
        <f t="shared" ca="1" si="5"/>
        <v/>
      </c>
      <c r="AD5" s="10" t="str">
        <f t="shared" ca="1" si="6"/>
        <v/>
      </c>
      <c r="AE5" s="10" t="str">
        <f t="shared" ca="1" si="7"/>
        <v/>
      </c>
      <c r="AF5" s="10" t="str">
        <f ca="1">IF(AND(Y5,AA5="ERREUR"),COUNTIF($AA$2:$AA5,"ERREUR"),"")</f>
        <v/>
      </c>
    </row>
    <row r="6" spans="2:32" ht="26" customHeight="1">
      <c r="F6" s="115"/>
      <c r="G6" s="117"/>
      <c r="H6" s="131" t="s">
        <v>86</v>
      </c>
      <c r="I6" s="121"/>
      <c r="K6" s="71"/>
      <c r="L6" s="124" t="s">
        <v>75</v>
      </c>
      <c r="M6" s="125"/>
      <c r="N6" s="126"/>
      <c r="O6" s="17"/>
      <c r="W6" s="11">
        <f t="shared" ca="1" si="0"/>
        <v>46464</v>
      </c>
      <c r="X6" s="10" t="str">
        <f t="shared" ca="1" si="1"/>
        <v>18032027</v>
      </c>
      <c r="Y6" s="10" t="b">
        <f t="shared" ca="1" si="2"/>
        <v>0</v>
      </c>
      <c r="Z6" s="10" t="str">
        <f ca="1">IF(Y6,COUNTIF($Y$2:$Y6,TRUE),"")</f>
        <v/>
      </c>
      <c r="AA6" s="10" t="str">
        <f t="shared" ca="1" si="3"/>
        <v/>
      </c>
      <c r="AB6" s="10" t="str">
        <f t="shared" ca="1" si="4"/>
        <v/>
      </c>
      <c r="AC6" s="10" t="str">
        <f t="shared" ca="1" si="5"/>
        <v/>
      </c>
      <c r="AD6" s="10" t="str">
        <f t="shared" ca="1" si="6"/>
        <v/>
      </c>
      <c r="AE6" s="10" t="str">
        <f t="shared" ca="1" si="7"/>
        <v/>
      </c>
      <c r="AF6" s="10" t="str">
        <f ca="1">IF(AND(Y6,AA6="ERREUR"),COUNTIF($AA$2:$AA6,"ERREUR"),"")</f>
        <v/>
      </c>
    </row>
    <row r="7" spans="2:32" ht="26" customHeight="1">
      <c r="F7" s="112" t="s">
        <v>85</v>
      </c>
      <c r="G7" s="114"/>
      <c r="H7" s="132"/>
      <c r="I7" s="102" t="s">
        <v>56</v>
      </c>
      <c r="K7" s="72"/>
      <c r="L7" s="124" t="s">
        <v>76</v>
      </c>
      <c r="M7" s="125"/>
      <c r="N7" s="126"/>
      <c r="O7" s="17"/>
      <c r="W7" s="11">
        <f t="shared" ca="1" si="0"/>
        <v>46463</v>
      </c>
      <c r="X7" s="10" t="str">
        <f t="shared" ca="1" si="1"/>
        <v>17032027</v>
      </c>
      <c r="Y7" s="10" t="b">
        <f t="shared" ca="1" si="2"/>
        <v>0</v>
      </c>
      <c r="Z7" s="10" t="str">
        <f ca="1">IF(Y7,COUNTIF($Y$2:$Y7,TRUE),"")</f>
        <v/>
      </c>
      <c r="AA7" s="10" t="str">
        <f t="shared" ca="1" si="3"/>
        <v/>
      </c>
      <c r="AB7" s="10" t="str">
        <f t="shared" ca="1" si="4"/>
        <v/>
      </c>
      <c r="AC7" s="10" t="str">
        <f t="shared" ca="1" si="5"/>
        <v/>
      </c>
      <c r="AD7" s="10" t="str">
        <f t="shared" ca="1" si="6"/>
        <v/>
      </c>
      <c r="AE7" s="10" t="str">
        <f t="shared" ca="1" si="7"/>
        <v/>
      </c>
      <c r="AF7" s="10" t="str">
        <f ca="1">IF(AND(Y7,AA7="ERREUR"),COUNTIF($AA$2:$AA7,"ERREUR"),"")</f>
        <v/>
      </c>
    </row>
    <row r="8" spans="2:32" ht="26" customHeight="1">
      <c r="F8" s="118">
        <f ca="1">COUNTIF($Y$2:$Y$800,TRUE)</f>
        <v>0</v>
      </c>
      <c r="G8" s="119"/>
      <c r="H8" s="103" t="str" cm="1">
        <f t="array" aca="1" ref="H8" ca="1">IFERROR(_xlfn.LET(_xlpm.noms,$C$13:$C$32,_xlpm.dates,IF(_xlpm.noms&lt;&gt;"",DATE(RIGHT(_xlpm.noms,4),MID(_xlpm.noms,3,2),LEFT(_xlpm.noms,2)),0),_xlpm.dernierNom,INDEX(_xlpm.noms,MATCH(MAX(_xlpm.dates),_xlpm.dates,0)),INDIRECT("'"&amp;_xlpm.dernierNom&amp;"'!H62")),"")</f>
        <v/>
      </c>
      <c r="I8" s="122">
        <f ca="1">COUNTIF($AA$2:$AA$800,"ERREUR")</f>
        <v>0</v>
      </c>
      <c r="K8" s="73"/>
      <c r="L8" s="124" t="s">
        <v>77</v>
      </c>
      <c r="M8" s="125"/>
      <c r="N8" s="126"/>
      <c r="O8" s="17"/>
      <c r="W8" s="11">
        <f t="shared" ca="1" si="0"/>
        <v>46462</v>
      </c>
      <c r="X8" s="10" t="str">
        <f t="shared" ca="1" si="1"/>
        <v>16032027</v>
      </c>
      <c r="Y8" s="10" t="b">
        <f t="shared" ca="1" si="2"/>
        <v>0</v>
      </c>
      <c r="Z8" s="10" t="str">
        <f ca="1">IF(Y8,COUNTIF($Y$2:$Y8,TRUE),"")</f>
        <v/>
      </c>
      <c r="AA8" s="10" t="str">
        <f t="shared" ca="1" si="3"/>
        <v/>
      </c>
      <c r="AB8" s="10" t="str">
        <f t="shared" ca="1" si="4"/>
        <v/>
      </c>
      <c r="AC8" s="10" t="str">
        <f t="shared" ca="1" si="5"/>
        <v/>
      </c>
      <c r="AD8" s="10" t="str">
        <f t="shared" ca="1" si="6"/>
        <v/>
      </c>
      <c r="AE8" s="10" t="str">
        <f t="shared" ca="1" si="7"/>
        <v/>
      </c>
      <c r="AF8" s="10" t="str">
        <f ca="1">IF(AND(Y8,AA8="ERREUR"),COUNTIF($AA$2:$AA8,"ERREUR"),"")</f>
        <v/>
      </c>
    </row>
    <row r="9" spans="2:32" ht="26" customHeight="1">
      <c r="F9" s="118"/>
      <c r="G9" s="119"/>
      <c r="H9" s="104"/>
      <c r="I9" s="123"/>
      <c r="K9" s="74"/>
      <c r="L9" s="130" t="s">
        <v>78</v>
      </c>
      <c r="M9" s="130"/>
      <c r="N9" s="130"/>
      <c r="O9" s="17"/>
      <c r="W9" s="11">
        <f t="shared" ca="1" si="0"/>
        <v>46461</v>
      </c>
      <c r="X9" s="10" t="str">
        <f t="shared" ca="1" si="1"/>
        <v>15032027</v>
      </c>
      <c r="Y9" s="10" t="b">
        <f t="shared" ca="1" si="2"/>
        <v>0</v>
      </c>
      <c r="Z9" s="10" t="str">
        <f ca="1">IF(Y9,COUNTIF($Y$2:$Y9,TRUE),"")</f>
        <v/>
      </c>
      <c r="AA9" s="10" t="str">
        <f t="shared" ca="1" si="3"/>
        <v/>
      </c>
      <c r="AB9" s="10" t="str">
        <f t="shared" ca="1" si="4"/>
        <v/>
      </c>
      <c r="AC9" s="10" t="str">
        <f t="shared" ca="1" si="5"/>
        <v/>
      </c>
      <c r="AD9" s="10" t="str">
        <f t="shared" ca="1" si="6"/>
        <v/>
      </c>
      <c r="AE9" s="10" t="str">
        <f t="shared" ca="1" si="7"/>
        <v/>
      </c>
      <c r="AF9" s="10" t="str">
        <f ca="1">IF(AND(Y9,AA9="ERREUR"),COUNTIF($AA$2:$AA9,"ERREUR"),"")</f>
        <v/>
      </c>
    </row>
    <row r="10" spans="2:32" ht="22" customHeight="1">
      <c r="W10" s="11">
        <f t="shared" ca="1" si="0"/>
        <v>46460</v>
      </c>
      <c r="X10" s="10" t="str">
        <f t="shared" ca="1" si="1"/>
        <v>14032027</v>
      </c>
      <c r="Y10" s="10" t="b">
        <f t="shared" ca="1" si="2"/>
        <v>0</v>
      </c>
      <c r="Z10" s="10" t="str">
        <f ca="1">IF(Y10,COUNTIF($Y$2:$Y10,TRUE),"")</f>
        <v/>
      </c>
      <c r="AA10" s="10" t="str">
        <f t="shared" ca="1" si="3"/>
        <v/>
      </c>
      <c r="AB10" s="10" t="str">
        <f t="shared" ca="1" si="4"/>
        <v/>
      </c>
      <c r="AC10" s="10" t="str">
        <f t="shared" ca="1" si="5"/>
        <v/>
      </c>
      <c r="AD10" s="10" t="str">
        <f t="shared" ca="1" si="6"/>
        <v/>
      </c>
      <c r="AE10" s="10" t="str">
        <f t="shared" ca="1" si="7"/>
        <v/>
      </c>
      <c r="AF10" s="10" t="str">
        <f ca="1">IF(AND(Y10,AA10="ERREUR"),COUNTIF($AA$2:$AA10,"ERREUR"),"")</f>
        <v/>
      </c>
    </row>
    <row r="11" spans="2:32" ht="26" customHeight="1">
      <c r="B11" s="35"/>
      <c r="C11" s="35" t="s">
        <v>83</v>
      </c>
      <c r="D11" s="35"/>
      <c r="E11" s="35"/>
      <c r="F11" s="35"/>
      <c r="G11" s="35"/>
      <c r="H11" s="35"/>
      <c r="I11" s="35"/>
      <c r="K11" s="18"/>
      <c r="L11" s="105" t="s">
        <v>56</v>
      </c>
      <c r="M11" s="105"/>
      <c r="N11" s="105"/>
      <c r="W11" s="11">
        <f t="shared" ca="1" si="0"/>
        <v>46459</v>
      </c>
      <c r="X11" s="10" t="str">
        <f t="shared" ca="1" si="1"/>
        <v>13032027</v>
      </c>
      <c r="Y11" s="10" t="b">
        <f t="shared" ca="1" si="2"/>
        <v>0</v>
      </c>
      <c r="Z11" s="10" t="str">
        <f ca="1">IF(Y11,COUNTIF($Y$2:$Y11,TRUE),"")</f>
        <v/>
      </c>
      <c r="AA11" s="10" t="str">
        <f t="shared" ca="1" si="3"/>
        <v/>
      </c>
      <c r="AB11" s="10" t="str">
        <f t="shared" ca="1" si="4"/>
        <v/>
      </c>
      <c r="AC11" s="10" t="str">
        <f t="shared" ca="1" si="5"/>
        <v/>
      </c>
      <c r="AD11" s="10" t="str">
        <f t="shared" ca="1" si="6"/>
        <v/>
      </c>
      <c r="AE11" s="10" t="str">
        <f t="shared" ca="1" si="7"/>
        <v/>
      </c>
      <c r="AF11" s="10" t="str">
        <f ca="1">IF(AND(Y11,AA11="ERREUR"),COUNTIF($AA$2:$AA11,"ERREUR"),"")</f>
        <v/>
      </c>
    </row>
    <row r="12" spans="2:32" ht="26" customHeight="1">
      <c r="B12" s="12"/>
      <c r="C12" s="12" t="s">
        <v>57</v>
      </c>
      <c r="D12" s="12" t="s">
        <v>58</v>
      </c>
      <c r="E12" s="12" t="s">
        <v>59</v>
      </c>
      <c r="F12" s="12" t="s">
        <v>60</v>
      </c>
      <c r="G12" s="12" t="s">
        <v>61</v>
      </c>
      <c r="H12" s="12" t="s">
        <v>62</v>
      </c>
      <c r="I12" s="12" t="s">
        <v>63</v>
      </c>
      <c r="K12" s="12"/>
      <c r="L12" s="12" t="s">
        <v>57</v>
      </c>
      <c r="M12" s="12" t="s">
        <v>58</v>
      </c>
      <c r="N12" s="12" t="s">
        <v>64</v>
      </c>
      <c r="W12" s="11">
        <f t="shared" ca="1" si="0"/>
        <v>46458</v>
      </c>
      <c r="X12" s="10" t="str">
        <f t="shared" ca="1" si="1"/>
        <v>12032027</v>
      </c>
      <c r="Y12" s="10" t="b">
        <f t="shared" ca="1" si="2"/>
        <v>0</v>
      </c>
      <c r="Z12" s="10" t="str">
        <f ca="1">IF(Y12,COUNTIF($Y$2:$Y12,TRUE),"")</f>
        <v/>
      </c>
      <c r="AA12" s="10" t="str">
        <f t="shared" ca="1" si="3"/>
        <v/>
      </c>
      <c r="AB12" s="10" t="str">
        <f t="shared" ca="1" si="4"/>
        <v/>
      </c>
      <c r="AC12" s="10" t="str">
        <f t="shared" ca="1" si="5"/>
        <v/>
      </c>
      <c r="AD12" s="10" t="str">
        <f t="shared" ca="1" si="6"/>
        <v/>
      </c>
      <c r="AE12" s="10" t="str">
        <f t="shared" ca="1" si="7"/>
        <v/>
      </c>
      <c r="AF12" s="10" t="str">
        <f ca="1">IF(AND(Y12,AA12="ERREUR"),COUNTIF($AA$2:$AA12,"ERREUR"),"")</f>
        <v/>
      </c>
    </row>
    <row r="13" spans="2:32" ht="24" customHeight="1">
      <c r="B13" s="16" t="str">
        <f t="shared" ref="B13:B22" ca="1" si="8">H13</f>
        <v/>
      </c>
      <c r="C13" s="13" t="str">
        <f t="shared" ref="C13:C32" ca="1" si="9">IFERROR(HYPERLINK("#'"&amp;INDEX($X$2:$X$800,MATCH(ROW()-12,$Z$2:$Z$800,0))&amp;"'!A1",INDEX($X$2:$X$800,MATCH(ROW()-12,$Z$2:$Z$800,0))),"")</f>
        <v/>
      </c>
      <c r="D13" s="14" t="str">
        <f t="shared" ref="D13:D21" ca="1" si="10">IFERROR(INDEX($W$2:$W$800,MATCH(ROW()-12,$Z$2:$Z$800,0)),"")</f>
        <v/>
      </c>
      <c r="E13" s="98" t="str">
        <f t="shared" ref="E13:E32" ca="1" si="11">IFERROR(INDEX($AB$2:$AB$800,MATCH(ROW()-12,$Z$2:$Z$800,0)),"")</f>
        <v/>
      </c>
      <c r="F13" s="98" t="str">
        <f t="shared" ref="F13:F32" ca="1" si="12">IFERROR(INDEX($AC$2:$AC$800,MATCH(ROW()-12,$Z$2:$Z$800,0)),"")</f>
        <v/>
      </c>
      <c r="G13" s="98" t="str">
        <f t="shared" ref="G13:G32" ca="1" si="13">IFERROR(INDEX($AD$2:$AD$800,MATCH(ROW()-12,$Z$2:$Z$800,0)),"")</f>
        <v/>
      </c>
      <c r="H13" s="13" t="str">
        <f t="shared" ref="H13:H32" ca="1" si="14">IFERROR(INDEX($AA$2:$AA$800,MATCH(ROW()-12,$Z$2:$Z$800,0)),"")</f>
        <v/>
      </c>
      <c r="I13" s="15" t="str">
        <f t="shared" ref="I13:I32" ca="1" si="15">IFERROR(INDEX($AE$2:$AE$800,MATCH(ROW()-12,$Z$2:$Z$800,0)),"")</f>
        <v/>
      </c>
      <c r="K13" s="16" t="str">
        <f ca="1">IF(L13="","","ERREUR")</f>
        <v/>
      </c>
      <c r="L13" s="13" t="str">
        <f ca="1">IFERROR(HYPERLINK("#'"&amp;INDEX($X$2:$X$800,MATCH(ROW()-12,$AF$2:$AF$800,0))&amp;"'!A1",INDEX($X$2:$X$800,MATCH(ROW()-12,$AF$2:$AF$800,0))),"")</f>
        <v/>
      </c>
      <c r="M13" s="14" t="str">
        <f t="shared" ref="M13:M32" ca="1" si="16">IFERROR(INDEX($W$2:$W$800,MATCH(ROW()-12,$AF$2:$AF$800,0)),"")</f>
        <v/>
      </c>
      <c r="N13" s="15" t="str">
        <f t="shared" ref="N13:N32" ca="1" si="17">IFERROR(INDEX($AE$2:$AE$800,MATCH(ROW()-12,$AF$2:$AF$800,0)),"")</f>
        <v/>
      </c>
      <c r="W13" s="11">
        <f t="shared" ca="1" si="0"/>
        <v>46457</v>
      </c>
      <c r="X13" s="10" t="str">
        <f t="shared" ca="1" si="1"/>
        <v>11032027</v>
      </c>
      <c r="Y13" s="10" t="b">
        <f t="shared" ca="1" si="2"/>
        <v>0</v>
      </c>
      <c r="Z13" s="10" t="str">
        <f ca="1">IF(Y13,COUNTIF($Y$2:$Y13,TRUE),"")</f>
        <v/>
      </c>
      <c r="AA13" s="10" t="str">
        <f t="shared" ca="1" si="3"/>
        <v/>
      </c>
      <c r="AB13" s="10" t="str">
        <f t="shared" ca="1" si="4"/>
        <v/>
      </c>
      <c r="AC13" s="10" t="str">
        <f t="shared" ca="1" si="5"/>
        <v/>
      </c>
      <c r="AD13" s="10" t="str">
        <f t="shared" ca="1" si="6"/>
        <v/>
      </c>
      <c r="AE13" s="10" t="str">
        <f t="shared" ca="1" si="7"/>
        <v/>
      </c>
      <c r="AF13" s="10" t="str">
        <f ca="1">IF(AND(Y13,AA13="ERREUR"),COUNTIF($AA$2:$AA13,"ERREUR"),"")</f>
        <v/>
      </c>
    </row>
    <row r="14" spans="2:32" ht="24" customHeight="1">
      <c r="B14" s="16" t="str">
        <f t="shared" ca="1" si="8"/>
        <v/>
      </c>
      <c r="C14" s="13" t="str">
        <f t="shared" ca="1" si="9"/>
        <v/>
      </c>
      <c r="D14" s="14" t="str">
        <f t="shared" ca="1" si="10"/>
        <v/>
      </c>
      <c r="E14" s="98" t="str">
        <f t="shared" ca="1" si="11"/>
        <v/>
      </c>
      <c r="F14" s="98" t="str">
        <f t="shared" ca="1" si="12"/>
        <v/>
      </c>
      <c r="G14" s="98" t="str">
        <f t="shared" ca="1" si="13"/>
        <v/>
      </c>
      <c r="H14" s="13" t="str">
        <f t="shared" ca="1" si="14"/>
        <v/>
      </c>
      <c r="I14" s="15" t="str">
        <f t="shared" ca="1" si="15"/>
        <v/>
      </c>
      <c r="K14" s="16" t="str">
        <f t="shared" ref="K14:K17" ca="1" si="18">IF(L14="","","ERREUR")</f>
        <v/>
      </c>
      <c r="L14" s="13" t="str">
        <f t="shared" ref="L14:L32" ca="1" si="19">IFERROR(HYPERLINK("#'"&amp;INDEX($X$2:$X$800,MATCH(ROW()-12,$AF$2:$AF$800,0))&amp;"'!A1",INDEX($X$2:$X$800,MATCH(ROW()-12,$AF$2:$AF$800,0))),"")</f>
        <v/>
      </c>
      <c r="M14" s="14" t="str">
        <f t="shared" ca="1" si="16"/>
        <v/>
      </c>
      <c r="N14" s="15" t="str">
        <f t="shared" ca="1" si="17"/>
        <v/>
      </c>
      <c r="W14" s="11">
        <f t="shared" ca="1" si="0"/>
        <v>46456</v>
      </c>
      <c r="X14" s="10" t="str">
        <f t="shared" ca="1" si="1"/>
        <v>10032027</v>
      </c>
      <c r="Y14" s="10" t="b">
        <f t="shared" ca="1" si="2"/>
        <v>0</v>
      </c>
      <c r="Z14" s="10" t="str">
        <f ca="1">IF(Y14,COUNTIF($Y$2:$Y14,TRUE),"")</f>
        <v/>
      </c>
      <c r="AA14" s="10" t="str">
        <f t="shared" ca="1" si="3"/>
        <v/>
      </c>
      <c r="AB14" s="10" t="str">
        <f t="shared" ca="1" si="4"/>
        <v/>
      </c>
      <c r="AC14" s="10" t="str">
        <f t="shared" ca="1" si="5"/>
        <v/>
      </c>
      <c r="AD14" s="10" t="str">
        <f t="shared" ca="1" si="6"/>
        <v/>
      </c>
      <c r="AE14" s="10" t="str">
        <f t="shared" ca="1" si="7"/>
        <v/>
      </c>
      <c r="AF14" s="10" t="str">
        <f ca="1">IF(AND(Y14,AA14="ERREUR"),COUNTIF($AA$2:$AA14,"ERREUR"),"")</f>
        <v/>
      </c>
    </row>
    <row r="15" spans="2:32" ht="24" customHeight="1">
      <c r="B15" s="16" t="str">
        <f t="shared" ca="1" si="8"/>
        <v/>
      </c>
      <c r="C15" s="13" t="str">
        <f ca="1">IFERROR(HYPERLINK("#'"&amp;INDEX($X$2:$X$800,MATCH(ROW()-12,$Z$2:$Z$800,0))&amp;"'!A1",INDEX($X$2:$X$800,MATCH(ROW()-12,$Z$2:$Z$800,0))),"")</f>
        <v/>
      </c>
      <c r="D15" s="14" t="str">
        <f t="shared" ca="1" si="10"/>
        <v/>
      </c>
      <c r="E15" s="98" t="str">
        <f t="shared" ca="1" si="11"/>
        <v/>
      </c>
      <c r="F15" s="98" t="str">
        <f t="shared" ca="1" si="12"/>
        <v/>
      </c>
      <c r="G15" s="98" t="str">
        <f t="shared" ca="1" si="13"/>
        <v/>
      </c>
      <c r="H15" s="13" t="str">
        <f t="shared" ca="1" si="14"/>
        <v/>
      </c>
      <c r="I15" s="15" t="str">
        <f t="shared" ca="1" si="15"/>
        <v/>
      </c>
      <c r="K15" s="16" t="str">
        <f t="shared" ca="1" si="18"/>
        <v/>
      </c>
      <c r="L15" s="13" t="str">
        <f t="shared" ca="1" si="19"/>
        <v/>
      </c>
      <c r="M15" s="14" t="str">
        <f t="shared" ca="1" si="16"/>
        <v/>
      </c>
      <c r="N15" s="15" t="str">
        <f t="shared" ca="1" si="17"/>
        <v/>
      </c>
      <c r="W15" s="11">
        <f t="shared" ca="1" si="0"/>
        <v>46455</v>
      </c>
      <c r="X15" s="10" t="str">
        <f t="shared" ca="1" si="1"/>
        <v>09032027</v>
      </c>
      <c r="Y15" s="10" t="b">
        <f t="shared" ca="1" si="2"/>
        <v>0</v>
      </c>
      <c r="Z15" s="10" t="str">
        <f ca="1">IF(Y15,COUNTIF($Y$2:$Y15,TRUE),"")</f>
        <v/>
      </c>
      <c r="AA15" s="10" t="str">
        <f t="shared" ca="1" si="3"/>
        <v/>
      </c>
      <c r="AB15" s="10" t="str">
        <f t="shared" ca="1" si="4"/>
        <v/>
      </c>
      <c r="AC15" s="10" t="str">
        <f t="shared" ca="1" si="5"/>
        <v/>
      </c>
      <c r="AD15" s="10" t="str">
        <f t="shared" ca="1" si="6"/>
        <v/>
      </c>
      <c r="AE15" s="10" t="str">
        <f t="shared" ca="1" si="7"/>
        <v/>
      </c>
      <c r="AF15" s="10" t="str">
        <f ca="1">IF(AND(Y15,AA15="ERREUR"),COUNTIF($AA$2:$AA15,"ERREUR"),"")</f>
        <v/>
      </c>
    </row>
    <row r="16" spans="2:32" ht="24" customHeight="1">
      <c r="B16" s="16" t="str">
        <f t="shared" ca="1" si="8"/>
        <v/>
      </c>
      <c r="C16" s="13" t="str">
        <f t="shared" ca="1" si="9"/>
        <v/>
      </c>
      <c r="D16" s="14" t="str">
        <f t="shared" ca="1" si="10"/>
        <v/>
      </c>
      <c r="E16" s="98" t="str">
        <f t="shared" ca="1" si="11"/>
        <v/>
      </c>
      <c r="F16" s="98" t="str">
        <f t="shared" ca="1" si="12"/>
        <v/>
      </c>
      <c r="G16" s="98" t="str">
        <f t="shared" ca="1" si="13"/>
        <v/>
      </c>
      <c r="H16" s="13" t="str">
        <f t="shared" ca="1" si="14"/>
        <v/>
      </c>
      <c r="I16" s="15" t="str">
        <f t="shared" ca="1" si="15"/>
        <v/>
      </c>
      <c r="K16" s="16" t="str">
        <f t="shared" ca="1" si="18"/>
        <v/>
      </c>
      <c r="L16" s="13" t="str">
        <f t="shared" ca="1" si="19"/>
        <v/>
      </c>
      <c r="M16" s="14" t="str">
        <f t="shared" ca="1" si="16"/>
        <v/>
      </c>
      <c r="N16" s="15" t="str">
        <f t="shared" ca="1" si="17"/>
        <v/>
      </c>
      <c r="W16" s="11">
        <f t="shared" ca="1" si="0"/>
        <v>46454</v>
      </c>
      <c r="X16" s="10" t="str">
        <f t="shared" ca="1" si="1"/>
        <v>08032027</v>
      </c>
      <c r="Y16" s="10" t="b">
        <f t="shared" ca="1" si="2"/>
        <v>0</v>
      </c>
      <c r="Z16" s="10" t="str">
        <f ca="1">IF(Y16,COUNTIF($Y$2:$Y16,TRUE),"")</f>
        <v/>
      </c>
      <c r="AA16" s="10" t="str">
        <f t="shared" ca="1" si="3"/>
        <v/>
      </c>
      <c r="AB16" s="10" t="str">
        <f t="shared" ca="1" si="4"/>
        <v/>
      </c>
      <c r="AC16" s="10" t="str">
        <f t="shared" ca="1" si="5"/>
        <v/>
      </c>
      <c r="AD16" s="10" t="str">
        <f t="shared" ca="1" si="6"/>
        <v/>
      </c>
      <c r="AE16" s="10" t="str">
        <f t="shared" ca="1" si="7"/>
        <v/>
      </c>
      <c r="AF16" s="10" t="str">
        <f ca="1">IF(AND(Y16,AA16="ERREUR"),COUNTIF($AA$2:$AA16,"ERREUR"),"")</f>
        <v/>
      </c>
    </row>
    <row r="17" spans="2:32" ht="24" customHeight="1">
      <c r="B17" s="16" t="str">
        <f t="shared" ca="1" si="8"/>
        <v/>
      </c>
      <c r="C17" s="13" t="str">
        <f t="shared" ca="1" si="9"/>
        <v/>
      </c>
      <c r="D17" s="14" t="str">
        <f t="shared" ca="1" si="10"/>
        <v/>
      </c>
      <c r="E17" s="98" t="str">
        <f t="shared" ca="1" si="11"/>
        <v/>
      </c>
      <c r="F17" s="98" t="str">
        <f t="shared" ca="1" si="12"/>
        <v/>
      </c>
      <c r="G17" s="98" t="str">
        <f t="shared" ca="1" si="13"/>
        <v/>
      </c>
      <c r="H17" s="13" t="str">
        <f t="shared" ca="1" si="14"/>
        <v/>
      </c>
      <c r="I17" s="15" t="str">
        <f t="shared" ca="1" si="15"/>
        <v/>
      </c>
      <c r="K17" s="16" t="str">
        <f t="shared" ca="1" si="18"/>
        <v/>
      </c>
      <c r="L17" s="13" t="str">
        <f t="shared" ca="1" si="19"/>
        <v/>
      </c>
      <c r="M17" s="14" t="str">
        <f t="shared" ca="1" si="16"/>
        <v/>
      </c>
      <c r="N17" s="15" t="str">
        <f t="shared" ca="1" si="17"/>
        <v/>
      </c>
      <c r="W17" s="11">
        <f t="shared" ca="1" si="0"/>
        <v>46453</v>
      </c>
      <c r="X17" s="10" t="str">
        <f t="shared" ca="1" si="1"/>
        <v>07032027</v>
      </c>
      <c r="Y17" s="10" t="b">
        <f t="shared" ca="1" si="2"/>
        <v>0</v>
      </c>
      <c r="Z17" s="10" t="str">
        <f ca="1">IF(Y17,COUNTIF($Y$2:$Y17,TRUE),"")</f>
        <v/>
      </c>
      <c r="AA17" s="10" t="str">
        <f t="shared" ca="1" si="3"/>
        <v/>
      </c>
      <c r="AB17" s="10" t="str">
        <f t="shared" ca="1" si="4"/>
        <v/>
      </c>
      <c r="AC17" s="10" t="str">
        <f t="shared" ca="1" si="5"/>
        <v/>
      </c>
      <c r="AD17" s="10" t="str">
        <f t="shared" ca="1" si="6"/>
        <v/>
      </c>
      <c r="AE17" s="10" t="str">
        <f t="shared" ca="1" si="7"/>
        <v/>
      </c>
      <c r="AF17" s="10" t="str">
        <f ca="1">IF(AND(Y17,AA17="ERREUR"),COUNTIF($AA$2:$AA17,"ERREUR"),"")</f>
        <v/>
      </c>
    </row>
    <row r="18" spans="2:32" ht="24" customHeight="1">
      <c r="B18" s="16" t="str">
        <f t="shared" ca="1" si="8"/>
        <v/>
      </c>
      <c r="C18" s="13" t="str">
        <f t="shared" ca="1" si="9"/>
        <v/>
      </c>
      <c r="D18" s="14" t="str">
        <f t="shared" ca="1" si="10"/>
        <v/>
      </c>
      <c r="E18" s="98" t="str">
        <f t="shared" ca="1" si="11"/>
        <v/>
      </c>
      <c r="F18" s="98" t="str">
        <f t="shared" ca="1" si="12"/>
        <v/>
      </c>
      <c r="G18" s="98" t="str">
        <f t="shared" ca="1" si="13"/>
        <v/>
      </c>
      <c r="H18" s="13" t="str">
        <f t="shared" ca="1" si="14"/>
        <v/>
      </c>
      <c r="I18" s="15" t="str">
        <f t="shared" ca="1" si="15"/>
        <v/>
      </c>
      <c r="K18" s="16" t="str">
        <f t="shared" ref="K18:K22" ca="1" si="20">IF(L18="","","ERREUR")</f>
        <v/>
      </c>
      <c r="L18" s="13" t="str">
        <f t="shared" ca="1" si="19"/>
        <v/>
      </c>
      <c r="M18" s="14" t="str">
        <f t="shared" ca="1" si="16"/>
        <v/>
      </c>
      <c r="N18" s="15" t="str">
        <f t="shared" ca="1" si="17"/>
        <v/>
      </c>
      <c r="W18" s="11">
        <f t="shared" ca="1" si="0"/>
        <v>46452</v>
      </c>
      <c r="X18" s="10" t="str">
        <f t="shared" ca="1" si="1"/>
        <v>06032027</v>
      </c>
      <c r="Y18" s="10" t="b">
        <f t="shared" ca="1" si="2"/>
        <v>0</v>
      </c>
      <c r="Z18" s="10" t="str">
        <f ca="1">IF(Y18,COUNTIF($Y$2:$Y18,TRUE),"")</f>
        <v/>
      </c>
      <c r="AA18" s="10" t="str">
        <f t="shared" ca="1" si="3"/>
        <v/>
      </c>
      <c r="AB18" s="10" t="str">
        <f t="shared" ca="1" si="4"/>
        <v/>
      </c>
      <c r="AC18" s="10" t="str">
        <f t="shared" ca="1" si="5"/>
        <v/>
      </c>
      <c r="AD18" s="10" t="str">
        <f t="shared" ca="1" si="6"/>
        <v/>
      </c>
      <c r="AE18" s="10" t="str">
        <f t="shared" ca="1" si="7"/>
        <v/>
      </c>
      <c r="AF18" s="10" t="str">
        <f ca="1">IF(AND(Y18,AA18="ERREUR"),COUNTIF($AA$2:$AA18,"ERREUR"),"")</f>
        <v/>
      </c>
    </row>
    <row r="19" spans="2:32" ht="24" customHeight="1">
      <c r="B19" s="16" t="str">
        <f t="shared" ca="1" si="8"/>
        <v/>
      </c>
      <c r="C19" s="13" t="str">
        <f t="shared" ca="1" si="9"/>
        <v/>
      </c>
      <c r="D19" s="14" t="str">
        <f t="shared" ca="1" si="10"/>
        <v/>
      </c>
      <c r="E19" s="98" t="str">
        <f t="shared" ca="1" si="11"/>
        <v/>
      </c>
      <c r="F19" s="98" t="str">
        <f t="shared" ca="1" si="12"/>
        <v/>
      </c>
      <c r="G19" s="98" t="str">
        <f t="shared" ca="1" si="13"/>
        <v/>
      </c>
      <c r="H19" s="13" t="str">
        <f t="shared" ca="1" si="14"/>
        <v/>
      </c>
      <c r="I19" s="15" t="str">
        <f t="shared" ca="1" si="15"/>
        <v/>
      </c>
      <c r="K19" s="16" t="str">
        <f t="shared" ca="1" si="20"/>
        <v/>
      </c>
      <c r="L19" s="13" t="str">
        <f t="shared" ca="1" si="19"/>
        <v/>
      </c>
      <c r="M19" s="14" t="str">
        <f t="shared" ca="1" si="16"/>
        <v/>
      </c>
      <c r="N19" s="15" t="str">
        <f t="shared" ca="1" si="17"/>
        <v/>
      </c>
      <c r="W19" s="11">
        <f t="shared" ca="1" si="0"/>
        <v>46451</v>
      </c>
      <c r="X19" s="10" t="str">
        <f t="shared" ca="1" si="1"/>
        <v>05032027</v>
      </c>
      <c r="Y19" s="10" t="b">
        <f t="shared" ca="1" si="2"/>
        <v>0</v>
      </c>
      <c r="Z19" s="10" t="str">
        <f ca="1">IF(Y19,COUNTIF($Y$2:$Y19,TRUE),"")</f>
        <v/>
      </c>
      <c r="AA19" s="10" t="str">
        <f t="shared" ca="1" si="3"/>
        <v/>
      </c>
      <c r="AB19" s="10" t="str">
        <f t="shared" ca="1" si="4"/>
        <v/>
      </c>
      <c r="AC19" s="10" t="str">
        <f t="shared" ca="1" si="5"/>
        <v/>
      </c>
      <c r="AD19" s="10" t="str">
        <f t="shared" ca="1" si="6"/>
        <v/>
      </c>
      <c r="AE19" s="10" t="str">
        <f t="shared" ca="1" si="7"/>
        <v/>
      </c>
      <c r="AF19" s="10" t="str">
        <f ca="1">IF(AND(Y19,AA19="ERREUR"),COUNTIF($AA$2:$AA19,"ERREUR"),"")</f>
        <v/>
      </c>
    </row>
    <row r="20" spans="2:32" ht="24" customHeight="1">
      <c r="B20" s="16" t="str">
        <f t="shared" ca="1" si="8"/>
        <v/>
      </c>
      <c r="C20" s="13" t="str">
        <f t="shared" ca="1" si="9"/>
        <v/>
      </c>
      <c r="D20" s="14" t="str">
        <f t="shared" ca="1" si="10"/>
        <v/>
      </c>
      <c r="E20" s="98" t="str">
        <f t="shared" ca="1" si="11"/>
        <v/>
      </c>
      <c r="F20" s="98" t="str">
        <f t="shared" ca="1" si="12"/>
        <v/>
      </c>
      <c r="G20" s="98" t="str">
        <f t="shared" ca="1" si="13"/>
        <v/>
      </c>
      <c r="H20" s="13" t="str">
        <f t="shared" ca="1" si="14"/>
        <v/>
      </c>
      <c r="I20" s="15" t="str">
        <f t="shared" ca="1" si="15"/>
        <v/>
      </c>
      <c r="K20" s="16" t="str">
        <f t="shared" ca="1" si="20"/>
        <v/>
      </c>
      <c r="L20" s="13" t="str">
        <f t="shared" ca="1" si="19"/>
        <v/>
      </c>
      <c r="M20" s="14" t="str">
        <f t="shared" ca="1" si="16"/>
        <v/>
      </c>
      <c r="N20" s="15" t="str">
        <f t="shared" ca="1" si="17"/>
        <v/>
      </c>
      <c r="W20" s="11">
        <f t="shared" ca="1" si="0"/>
        <v>46450</v>
      </c>
      <c r="X20" s="10" t="str">
        <f t="shared" ca="1" si="1"/>
        <v>04032027</v>
      </c>
      <c r="Y20" s="10" t="b">
        <f t="shared" ca="1" si="2"/>
        <v>0</v>
      </c>
      <c r="Z20" s="10" t="str">
        <f ca="1">IF(Y20,COUNTIF($Y$2:$Y20,TRUE),"")</f>
        <v/>
      </c>
      <c r="AA20" s="10" t="str">
        <f t="shared" ca="1" si="3"/>
        <v/>
      </c>
      <c r="AB20" s="10" t="str">
        <f t="shared" ca="1" si="4"/>
        <v/>
      </c>
      <c r="AC20" s="10" t="str">
        <f t="shared" ca="1" si="5"/>
        <v/>
      </c>
      <c r="AD20" s="10" t="str">
        <f t="shared" ca="1" si="6"/>
        <v/>
      </c>
      <c r="AE20" s="10" t="str">
        <f t="shared" ca="1" si="7"/>
        <v/>
      </c>
      <c r="AF20" s="10" t="str">
        <f ca="1">IF(AND(Y20,AA20="ERREUR"),COUNTIF($AA$2:$AA20,"ERREUR"),"")</f>
        <v/>
      </c>
    </row>
    <row r="21" spans="2:32" ht="24" customHeight="1">
      <c r="B21" s="16" t="str">
        <f t="shared" ca="1" si="8"/>
        <v/>
      </c>
      <c r="C21" s="13" t="str">
        <f t="shared" ca="1" si="9"/>
        <v/>
      </c>
      <c r="D21" s="14" t="str">
        <f t="shared" ca="1" si="10"/>
        <v/>
      </c>
      <c r="E21" s="98" t="str">
        <f t="shared" ca="1" si="11"/>
        <v/>
      </c>
      <c r="F21" s="98" t="str">
        <f t="shared" ca="1" si="12"/>
        <v/>
      </c>
      <c r="G21" s="98" t="str">
        <f t="shared" ca="1" si="13"/>
        <v/>
      </c>
      <c r="H21" s="13" t="str">
        <f t="shared" ca="1" si="14"/>
        <v/>
      </c>
      <c r="I21" s="15" t="str">
        <f t="shared" ca="1" si="15"/>
        <v/>
      </c>
      <c r="K21" s="16" t="str">
        <f t="shared" ca="1" si="20"/>
        <v/>
      </c>
      <c r="L21" s="13" t="str">
        <f t="shared" ca="1" si="19"/>
        <v/>
      </c>
      <c r="M21" s="14" t="str">
        <f t="shared" ca="1" si="16"/>
        <v/>
      </c>
      <c r="N21" s="15" t="str">
        <f t="shared" ca="1" si="17"/>
        <v/>
      </c>
      <c r="W21" s="11">
        <f t="shared" ca="1" si="0"/>
        <v>46449</v>
      </c>
      <c r="X21" s="10" t="str">
        <f t="shared" ca="1" si="1"/>
        <v>03032027</v>
      </c>
      <c r="Y21" s="10" t="b">
        <f t="shared" ca="1" si="2"/>
        <v>0</v>
      </c>
      <c r="Z21" s="10" t="str">
        <f ca="1">IF(Y21,COUNTIF($Y$2:$Y21,TRUE),"")</f>
        <v/>
      </c>
      <c r="AA21" s="10" t="str">
        <f t="shared" ca="1" si="3"/>
        <v/>
      </c>
      <c r="AB21" s="10" t="str">
        <f t="shared" ca="1" si="4"/>
        <v/>
      </c>
      <c r="AC21" s="10" t="str">
        <f t="shared" ca="1" si="5"/>
        <v/>
      </c>
      <c r="AD21" s="10" t="str">
        <f t="shared" ca="1" si="6"/>
        <v/>
      </c>
      <c r="AE21" s="10" t="str">
        <f t="shared" ca="1" si="7"/>
        <v/>
      </c>
      <c r="AF21" s="10" t="str">
        <f ca="1">IF(AND(Y21,AA21="ERREUR"),COUNTIF($AA$2:$AA21,"ERREUR"),"")</f>
        <v/>
      </c>
    </row>
    <row r="22" spans="2:32" ht="24" customHeight="1">
      <c r="B22" s="16" t="str">
        <f t="shared" ca="1" si="8"/>
        <v/>
      </c>
      <c r="C22" s="13" t="str">
        <f t="shared" ca="1" si="9"/>
        <v/>
      </c>
      <c r="D22" s="14" t="str">
        <f ca="1">IFERROR(INDEX($W$2:$W$800,MATCH(ROW()-12,$Z$2:$Z$800,0)),"")</f>
        <v/>
      </c>
      <c r="E22" s="98" t="str">
        <f t="shared" ca="1" si="11"/>
        <v/>
      </c>
      <c r="F22" s="98" t="str">
        <f t="shared" ca="1" si="12"/>
        <v/>
      </c>
      <c r="G22" s="98" t="str">
        <f t="shared" ca="1" si="13"/>
        <v/>
      </c>
      <c r="H22" s="13" t="str">
        <f t="shared" ca="1" si="14"/>
        <v/>
      </c>
      <c r="I22" s="15" t="str">
        <f t="shared" ca="1" si="15"/>
        <v/>
      </c>
      <c r="K22" s="16" t="str">
        <f t="shared" ca="1" si="20"/>
        <v/>
      </c>
      <c r="L22" s="13" t="str">
        <f t="shared" ca="1" si="19"/>
        <v/>
      </c>
      <c r="M22" s="14" t="str">
        <f t="shared" ca="1" si="16"/>
        <v/>
      </c>
      <c r="N22" s="15" t="str">
        <f t="shared" ca="1" si="17"/>
        <v/>
      </c>
      <c r="W22" s="11">
        <f t="shared" ca="1" si="0"/>
        <v>46448</v>
      </c>
      <c r="X22" s="10" t="str">
        <f t="shared" ca="1" si="1"/>
        <v>02032027</v>
      </c>
      <c r="Y22" s="10" t="b">
        <f t="shared" ca="1" si="2"/>
        <v>0</v>
      </c>
      <c r="Z22" s="10" t="str">
        <f ca="1">IF(Y22,COUNTIF($Y$2:$Y22,TRUE),"")</f>
        <v/>
      </c>
      <c r="AA22" s="10" t="str">
        <f t="shared" ca="1" si="3"/>
        <v/>
      </c>
      <c r="AB22" s="10" t="str">
        <f t="shared" ca="1" si="4"/>
        <v/>
      </c>
      <c r="AC22" s="10" t="str">
        <f t="shared" ca="1" si="5"/>
        <v/>
      </c>
      <c r="AD22" s="10" t="str">
        <f t="shared" ca="1" si="6"/>
        <v/>
      </c>
      <c r="AE22" s="10" t="str">
        <f t="shared" ca="1" si="7"/>
        <v/>
      </c>
      <c r="AF22" s="10" t="str">
        <f ca="1">IF(AND(Y22,AA22="ERREUR"),COUNTIF($AA$2:$AA22,"ERREUR"),"")</f>
        <v/>
      </c>
    </row>
    <row r="23" spans="2:32" ht="22" customHeight="1">
      <c r="B23" s="16" t="str">
        <f t="shared" ref="B23:B32" ca="1" si="21">H23</f>
        <v/>
      </c>
      <c r="C23" s="13" t="str">
        <f t="shared" ca="1" si="9"/>
        <v/>
      </c>
      <c r="D23" s="14" t="str">
        <f t="shared" ref="D23:D32" ca="1" si="22">IFERROR(INDEX($W$2:$W$800,MATCH(ROW()-12,$Z$2:$Z$800,0)),"")</f>
        <v/>
      </c>
      <c r="E23" s="98" t="str">
        <f t="shared" ca="1" si="11"/>
        <v/>
      </c>
      <c r="F23" s="98" t="str">
        <f t="shared" ca="1" si="12"/>
        <v/>
      </c>
      <c r="G23" s="98" t="str">
        <f t="shared" ca="1" si="13"/>
        <v/>
      </c>
      <c r="H23" s="13" t="str">
        <f t="shared" ca="1" si="14"/>
        <v/>
      </c>
      <c r="I23" s="15" t="str">
        <f t="shared" ca="1" si="15"/>
        <v/>
      </c>
      <c r="K23" s="16" t="str">
        <f t="shared" ref="K23:K32" ca="1" si="23">IF(L23="","","ERREUR")</f>
        <v/>
      </c>
      <c r="L23" s="13" t="str">
        <f t="shared" ca="1" si="19"/>
        <v/>
      </c>
      <c r="M23" s="14" t="str">
        <f t="shared" ca="1" si="16"/>
        <v/>
      </c>
      <c r="N23" s="15" t="str">
        <f t="shared" ca="1" si="17"/>
        <v/>
      </c>
      <c r="W23" s="11">
        <f t="shared" ca="1" si="0"/>
        <v>46447</v>
      </c>
      <c r="X23" s="10" t="str">
        <f t="shared" ca="1" si="1"/>
        <v>01032027</v>
      </c>
      <c r="Y23" s="10" t="b">
        <f t="shared" ca="1" si="2"/>
        <v>0</v>
      </c>
      <c r="Z23" s="10" t="str">
        <f ca="1">IF(Y23,COUNTIF($Y$2:$Y23,TRUE),"")</f>
        <v/>
      </c>
      <c r="AA23" s="10" t="str">
        <f t="shared" ca="1" si="3"/>
        <v/>
      </c>
      <c r="AB23" s="10" t="str">
        <f t="shared" ca="1" si="4"/>
        <v/>
      </c>
      <c r="AC23" s="10" t="str">
        <f t="shared" ca="1" si="5"/>
        <v/>
      </c>
      <c r="AD23" s="10" t="str">
        <f t="shared" ca="1" si="6"/>
        <v/>
      </c>
      <c r="AE23" s="10" t="str">
        <f t="shared" ca="1" si="7"/>
        <v/>
      </c>
      <c r="AF23" s="10" t="str">
        <f ca="1">IF(AND(Y23,AA23="ERREUR"),COUNTIF($AA$2:$AA23,"ERREUR"),"")</f>
        <v/>
      </c>
    </row>
    <row r="24" spans="2:32" ht="22" customHeight="1">
      <c r="B24" s="16" t="str">
        <f t="shared" ca="1" si="21"/>
        <v/>
      </c>
      <c r="C24" s="13" t="str">
        <f t="shared" ca="1" si="9"/>
        <v/>
      </c>
      <c r="D24" s="14" t="str">
        <f t="shared" ca="1" si="22"/>
        <v/>
      </c>
      <c r="E24" s="98" t="str">
        <f t="shared" ca="1" si="11"/>
        <v/>
      </c>
      <c r="F24" s="98" t="str">
        <f t="shared" ca="1" si="12"/>
        <v/>
      </c>
      <c r="G24" s="98" t="str">
        <f t="shared" ca="1" si="13"/>
        <v/>
      </c>
      <c r="H24" s="13" t="str">
        <f t="shared" ca="1" si="14"/>
        <v/>
      </c>
      <c r="I24" s="15" t="str">
        <f t="shared" ca="1" si="15"/>
        <v/>
      </c>
      <c r="K24" s="16" t="str">
        <f t="shared" ca="1" si="23"/>
        <v/>
      </c>
      <c r="L24" s="13" t="str">
        <f t="shared" ca="1" si="19"/>
        <v/>
      </c>
      <c r="M24" s="14" t="str">
        <f t="shared" ca="1" si="16"/>
        <v/>
      </c>
      <c r="N24" s="15" t="str">
        <f t="shared" ca="1" si="17"/>
        <v/>
      </c>
      <c r="W24" s="11">
        <f t="shared" ca="1" si="0"/>
        <v>46446</v>
      </c>
      <c r="X24" s="10" t="str">
        <f t="shared" ca="1" si="1"/>
        <v>28022027</v>
      </c>
      <c r="Y24" s="10" t="b">
        <f t="shared" ca="1" si="2"/>
        <v>0</v>
      </c>
      <c r="Z24" s="10" t="str">
        <f ca="1">IF(Y24,COUNTIF($Y$2:$Y24,TRUE),"")</f>
        <v/>
      </c>
      <c r="AA24" s="10" t="str">
        <f t="shared" ca="1" si="3"/>
        <v/>
      </c>
      <c r="AB24" s="10" t="str">
        <f t="shared" ca="1" si="4"/>
        <v/>
      </c>
      <c r="AC24" s="10" t="str">
        <f t="shared" ca="1" si="5"/>
        <v/>
      </c>
      <c r="AD24" s="10" t="str">
        <f t="shared" ca="1" si="6"/>
        <v/>
      </c>
      <c r="AE24" s="10" t="str">
        <f t="shared" ca="1" si="7"/>
        <v/>
      </c>
      <c r="AF24" s="10" t="str">
        <f ca="1">IF(AND(Y24,AA24="ERREUR"),COUNTIF($AA$2:$AA24,"ERREUR"),"")</f>
        <v/>
      </c>
    </row>
    <row r="25" spans="2:32" ht="22" customHeight="1">
      <c r="B25" s="16" t="str">
        <f t="shared" ca="1" si="21"/>
        <v/>
      </c>
      <c r="C25" s="13" t="str">
        <f t="shared" ca="1" si="9"/>
        <v/>
      </c>
      <c r="D25" s="14" t="str">
        <f t="shared" ca="1" si="22"/>
        <v/>
      </c>
      <c r="E25" s="98" t="str">
        <f t="shared" ca="1" si="11"/>
        <v/>
      </c>
      <c r="F25" s="98" t="str">
        <f t="shared" ca="1" si="12"/>
        <v/>
      </c>
      <c r="G25" s="98" t="str">
        <f t="shared" ca="1" si="13"/>
        <v/>
      </c>
      <c r="H25" s="13" t="str">
        <f t="shared" ca="1" si="14"/>
        <v/>
      </c>
      <c r="I25" s="15" t="str">
        <f t="shared" ca="1" si="15"/>
        <v/>
      </c>
      <c r="K25" s="16" t="str">
        <f t="shared" ca="1" si="23"/>
        <v/>
      </c>
      <c r="L25" s="13" t="str">
        <f t="shared" ca="1" si="19"/>
        <v/>
      </c>
      <c r="M25" s="14" t="str">
        <f t="shared" ca="1" si="16"/>
        <v/>
      </c>
      <c r="N25" s="15" t="str">
        <f t="shared" ca="1" si="17"/>
        <v/>
      </c>
      <c r="W25" s="11">
        <f t="shared" ca="1" si="0"/>
        <v>46445</v>
      </c>
      <c r="X25" s="10" t="str">
        <f t="shared" ca="1" si="1"/>
        <v>27022027</v>
      </c>
      <c r="Y25" s="10" t="b">
        <f t="shared" ca="1" si="2"/>
        <v>0</v>
      </c>
      <c r="Z25" s="10" t="str">
        <f ca="1">IF(Y25,COUNTIF($Y$2:$Y25,TRUE),"")</f>
        <v/>
      </c>
      <c r="AA25" s="10" t="str">
        <f t="shared" ca="1" si="3"/>
        <v/>
      </c>
      <c r="AB25" s="10" t="str">
        <f t="shared" ca="1" si="4"/>
        <v/>
      </c>
      <c r="AC25" s="10" t="str">
        <f t="shared" ca="1" si="5"/>
        <v/>
      </c>
      <c r="AD25" s="10" t="str">
        <f t="shared" ca="1" si="6"/>
        <v/>
      </c>
      <c r="AE25" s="10" t="str">
        <f t="shared" ca="1" si="7"/>
        <v/>
      </c>
      <c r="AF25" s="10" t="str">
        <f ca="1">IF(AND(Y25,AA25="ERREUR"),COUNTIF($AA$2:$AA25,"ERREUR"),"")</f>
        <v/>
      </c>
    </row>
    <row r="26" spans="2:32" ht="22" customHeight="1">
      <c r="B26" s="16" t="str">
        <f t="shared" ca="1" si="21"/>
        <v/>
      </c>
      <c r="C26" s="13" t="str">
        <f t="shared" ca="1" si="9"/>
        <v/>
      </c>
      <c r="D26" s="14" t="str">
        <f t="shared" ca="1" si="22"/>
        <v/>
      </c>
      <c r="E26" s="98" t="str">
        <f t="shared" ca="1" si="11"/>
        <v/>
      </c>
      <c r="F26" s="98" t="str">
        <f t="shared" ca="1" si="12"/>
        <v/>
      </c>
      <c r="G26" s="98" t="str">
        <f t="shared" ca="1" si="13"/>
        <v/>
      </c>
      <c r="H26" s="13" t="str">
        <f t="shared" ca="1" si="14"/>
        <v/>
      </c>
      <c r="I26" s="15" t="str">
        <f t="shared" ca="1" si="15"/>
        <v/>
      </c>
      <c r="K26" s="16" t="str">
        <f t="shared" ca="1" si="23"/>
        <v/>
      </c>
      <c r="L26" s="13" t="str">
        <f t="shared" ca="1" si="19"/>
        <v/>
      </c>
      <c r="M26" s="14" t="str">
        <f t="shared" ca="1" si="16"/>
        <v/>
      </c>
      <c r="N26" s="15" t="str">
        <f t="shared" ca="1" si="17"/>
        <v/>
      </c>
      <c r="W26" s="11">
        <f t="shared" ca="1" si="0"/>
        <v>46444</v>
      </c>
      <c r="X26" s="10" t="str">
        <f t="shared" ca="1" si="1"/>
        <v>26022027</v>
      </c>
      <c r="Y26" s="10" t="b">
        <f t="shared" ca="1" si="2"/>
        <v>0</v>
      </c>
      <c r="Z26" s="10" t="str">
        <f ca="1">IF(Y26,COUNTIF($Y$2:$Y26,TRUE),"")</f>
        <v/>
      </c>
      <c r="AA26" s="10" t="str">
        <f t="shared" ca="1" si="3"/>
        <v/>
      </c>
      <c r="AB26" s="10" t="str">
        <f t="shared" ca="1" si="4"/>
        <v/>
      </c>
      <c r="AC26" s="10" t="str">
        <f t="shared" ca="1" si="5"/>
        <v/>
      </c>
      <c r="AD26" s="10" t="str">
        <f t="shared" ca="1" si="6"/>
        <v/>
      </c>
      <c r="AE26" s="10" t="str">
        <f t="shared" ca="1" si="7"/>
        <v/>
      </c>
      <c r="AF26" s="10" t="str">
        <f ca="1">IF(AND(Y26,AA26="ERREUR"),COUNTIF($AA$2:$AA26,"ERREUR"),"")</f>
        <v/>
      </c>
    </row>
    <row r="27" spans="2:32" ht="22" customHeight="1">
      <c r="B27" s="16" t="str">
        <f t="shared" ca="1" si="21"/>
        <v/>
      </c>
      <c r="C27" s="13" t="str">
        <f t="shared" ca="1" si="9"/>
        <v/>
      </c>
      <c r="D27" s="14" t="str">
        <f t="shared" ca="1" si="22"/>
        <v/>
      </c>
      <c r="E27" s="98" t="str">
        <f t="shared" ca="1" si="11"/>
        <v/>
      </c>
      <c r="F27" s="98" t="str">
        <f t="shared" ca="1" si="12"/>
        <v/>
      </c>
      <c r="G27" s="98" t="str">
        <f t="shared" ca="1" si="13"/>
        <v/>
      </c>
      <c r="H27" s="13" t="str">
        <f t="shared" ca="1" si="14"/>
        <v/>
      </c>
      <c r="I27" s="15" t="str">
        <f t="shared" ca="1" si="15"/>
        <v/>
      </c>
      <c r="K27" s="16" t="str">
        <f t="shared" ca="1" si="23"/>
        <v/>
      </c>
      <c r="L27" s="13" t="str">
        <f t="shared" ca="1" si="19"/>
        <v/>
      </c>
      <c r="M27" s="14" t="str">
        <f t="shared" ca="1" si="16"/>
        <v/>
      </c>
      <c r="N27" s="15" t="str">
        <f t="shared" ca="1" si="17"/>
        <v/>
      </c>
      <c r="W27" s="11">
        <f t="shared" ca="1" si="0"/>
        <v>46443</v>
      </c>
      <c r="X27" s="10" t="str">
        <f t="shared" ca="1" si="1"/>
        <v>25022027</v>
      </c>
      <c r="Y27" s="10" t="b">
        <f t="shared" ca="1" si="2"/>
        <v>0</v>
      </c>
      <c r="Z27" s="10" t="str">
        <f ca="1">IF(Y27,COUNTIF($Y$2:$Y27,TRUE),"")</f>
        <v/>
      </c>
      <c r="AA27" s="10" t="str">
        <f t="shared" ca="1" si="3"/>
        <v/>
      </c>
      <c r="AB27" s="10" t="str">
        <f t="shared" ca="1" si="4"/>
        <v/>
      </c>
      <c r="AC27" s="10" t="str">
        <f t="shared" ca="1" si="5"/>
        <v/>
      </c>
      <c r="AD27" s="10" t="str">
        <f t="shared" ca="1" si="6"/>
        <v/>
      </c>
      <c r="AE27" s="10" t="str">
        <f t="shared" ca="1" si="7"/>
        <v/>
      </c>
      <c r="AF27" s="10" t="str">
        <f ca="1">IF(AND(Y27,AA27="ERREUR"),COUNTIF($AA$2:$AA27,"ERREUR"),"")</f>
        <v/>
      </c>
    </row>
    <row r="28" spans="2:32" ht="22" customHeight="1">
      <c r="B28" s="16" t="str">
        <f t="shared" ca="1" si="21"/>
        <v/>
      </c>
      <c r="C28" s="13" t="str">
        <f t="shared" ca="1" si="9"/>
        <v/>
      </c>
      <c r="D28" s="14" t="str">
        <f t="shared" ca="1" si="22"/>
        <v/>
      </c>
      <c r="E28" s="98" t="str">
        <f t="shared" ca="1" si="11"/>
        <v/>
      </c>
      <c r="F28" s="98" t="str">
        <f t="shared" ca="1" si="12"/>
        <v/>
      </c>
      <c r="G28" s="98" t="str">
        <f t="shared" ca="1" si="13"/>
        <v/>
      </c>
      <c r="H28" s="13" t="str">
        <f t="shared" ca="1" si="14"/>
        <v/>
      </c>
      <c r="I28" s="15" t="str">
        <f t="shared" ca="1" si="15"/>
        <v/>
      </c>
      <c r="K28" s="16" t="str">
        <f t="shared" ca="1" si="23"/>
        <v/>
      </c>
      <c r="L28" s="13" t="str">
        <f t="shared" ca="1" si="19"/>
        <v/>
      </c>
      <c r="M28" s="14" t="str">
        <f t="shared" ca="1" si="16"/>
        <v/>
      </c>
      <c r="N28" s="15" t="str">
        <f t="shared" ca="1" si="17"/>
        <v/>
      </c>
      <c r="W28" s="11">
        <f t="shared" ca="1" si="0"/>
        <v>46442</v>
      </c>
      <c r="X28" s="10" t="str">
        <f t="shared" ca="1" si="1"/>
        <v>24022027</v>
      </c>
      <c r="Y28" s="10" t="b">
        <f t="shared" ca="1" si="2"/>
        <v>0</v>
      </c>
      <c r="Z28" s="10" t="str">
        <f ca="1">IF(Y28,COUNTIF($Y$2:$Y28,TRUE),"")</f>
        <v/>
      </c>
      <c r="AA28" s="10" t="str">
        <f t="shared" ca="1" si="3"/>
        <v/>
      </c>
      <c r="AB28" s="10" t="str">
        <f t="shared" ca="1" si="4"/>
        <v/>
      </c>
      <c r="AC28" s="10" t="str">
        <f t="shared" ca="1" si="5"/>
        <v/>
      </c>
      <c r="AD28" s="10" t="str">
        <f t="shared" ca="1" si="6"/>
        <v/>
      </c>
      <c r="AE28" s="10" t="str">
        <f t="shared" ca="1" si="7"/>
        <v/>
      </c>
      <c r="AF28" s="10" t="str">
        <f ca="1">IF(AND(Y28,AA28="ERREUR"),COUNTIF($AA$2:$AA28,"ERREUR"),"")</f>
        <v/>
      </c>
    </row>
    <row r="29" spans="2:32" ht="22" customHeight="1">
      <c r="B29" s="16" t="str">
        <f t="shared" ca="1" si="21"/>
        <v/>
      </c>
      <c r="C29" s="13" t="str">
        <f t="shared" ca="1" si="9"/>
        <v/>
      </c>
      <c r="D29" s="14" t="str">
        <f t="shared" ca="1" si="22"/>
        <v/>
      </c>
      <c r="E29" s="98" t="str">
        <f t="shared" ca="1" si="11"/>
        <v/>
      </c>
      <c r="F29" s="98" t="str">
        <f t="shared" ca="1" si="12"/>
        <v/>
      </c>
      <c r="G29" s="98" t="str">
        <f t="shared" ca="1" si="13"/>
        <v/>
      </c>
      <c r="H29" s="13" t="str">
        <f t="shared" ca="1" si="14"/>
        <v/>
      </c>
      <c r="I29" s="15" t="str">
        <f t="shared" ca="1" si="15"/>
        <v/>
      </c>
      <c r="K29" s="16" t="str">
        <f t="shared" ca="1" si="23"/>
        <v/>
      </c>
      <c r="L29" s="13" t="str">
        <f t="shared" ca="1" si="19"/>
        <v/>
      </c>
      <c r="M29" s="14" t="str">
        <f t="shared" ca="1" si="16"/>
        <v/>
      </c>
      <c r="N29" s="15" t="str">
        <f t="shared" ca="1" si="17"/>
        <v/>
      </c>
      <c r="W29" s="11">
        <f t="shared" ca="1" si="0"/>
        <v>46441</v>
      </c>
      <c r="X29" s="10" t="str">
        <f t="shared" ca="1" si="1"/>
        <v>23022027</v>
      </c>
      <c r="Y29" s="10" t="b">
        <f t="shared" ca="1" si="2"/>
        <v>0</v>
      </c>
      <c r="Z29" s="10" t="str">
        <f ca="1">IF(Y29,COUNTIF($Y$2:$Y29,TRUE),"")</f>
        <v/>
      </c>
      <c r="AA29" s="10" t="str">
        <f t="shared" ca="1" si="3"/>
        <v/>
      </c>
      <c r="AB29" s="10" t="str">
        <f t="shared" ca="1" si="4"/>
        <v/>
      </c>
      <c r="AC29" s="10" t="str">
        <f t="shared" ca="1" si="5"/>
        <v/>
      </c>
      <c r="AD29" s="10" t="str">
        <f t="shared" ca="1" si="6"/>
        <v/>
      </c>
      <c r="AE29" s="10" t="str">
        <f t="shared" ca="1" si="7"/>
        <v/>
      </c>
      <c r="AF29" s="10" t="str">
        <f ca="1">IF(AND(Y29,AA29="ERREUR"),COUNTIF($AA$2:$AA29,"ERREUR"),"")</f>
        <v/>
      </c>
    </row>
    <row r="30" spans="2:32" ht="25" customHeight="1">
      <c r="B30" s="16" t="str">
        <f t="shared" ca="1" si="21"/>
        <v/>
      </c>
      <c r="C30" s="13" t="str">
        <f t="shared" ca="1" si="9"/>
        <v/>
      </c>
      <c r="D30" s="14" t="str">
        <f t="shared" ca="1" si="22"/>
        <v/>
      </c>
      <c r="E30" s="98" t="str">
        <f t="shared" ca="1" si="11"/>
        <v/>
      </c>
      <c r="F30" s="98" t="str">
        <f t="shared" ca="1" si="12"/>
        <v/>
      </c>
      <c r="G30" s="98" t="str">
        <f t="shared" ca="1" si="13"/>
        <v/>
      </c>
      <c r="H30" s="13" t="str">
        <f t="shared" ca="1" si="14"/>
        <v/>
      </c>
      <c r="I30" s="15" t="str">
        <f t="shared" ca="1" si="15"/>
        <v/>
      </c>
      <c r="K30" s="16" t="str">
        <f t="shared" ca="1" si="23"/>
        <v/>
      </c>
      <c r="L30" s="13" t="str">
        <f t="shared" ca="1" si="19"/>
        <v/>
      </c>
      <c r="M30" s="14" t="str">
        <f t="shared" ca="1" si="16"/>
        <v/>
      </c>
      <c r="N30" s="15" t="str">
        <f t="shared" ca="1" si="17"/>
        <v/>
      </c>
      <c r="W30" s="11">
        <f t="shared" ca="1" si="0"/>
        <v>46440</v>
      </c>
      <c r="X30" s="10" t="str">
        <f t="shared" ca="1" si="1"/>
        <v>22022027</v>
      </c>
      <c r="Y30" s="10" t="b">
        <f t="shared" ca="1" si="2"/>
        <v>0</v>
      </c>
      <c r="Z30" s="10" t="str">
        <f ca="1">IF(Y30,COUNTIF($Y$2:$Y30,TRUE),"")</f>
        <v/>
      </c>
      <c r="AA30" s="10" t="str">
        <f t="shared" ca="1" si="3"/>
        <v/>
      </c>
      <c r="AB30" s="10" t="str">
        <f t="shared" ca="1" si="4"/>
        <v/>
      </c>
      <c r="AC30" s="10" t="str">
        <f t="shared" ca="1" si="5"/>
        <v/>
      </c>
      <c r="AD30" s="10" t="str">
        <f t="shared" ca="1" si="6"/>
        <v/>
      </c>
      <c r="AE30" s="10" t="str">
        <f t="shared" ca="1" si="7"/>
        <v/>
      </c>
      <c r="AF30" s="10" t="str">
        <f ca="1">IF(AND(Y30,AA30="ERREUR"),COUNTIF($AA$2:$AA30,"ERREUR"),"")</f>
        <v/>
      </c>
    </row>
    <row r="31" spans="2:32" ht="25" customHeight="1">
      <c r="B31" s="16" t="str">
        <f t="shared" ca="1" si="21"/>
        <v/>
      </c>
      <c r="C31" s="13" t="str">
        <f t="shared" ca="1" si="9"/>
        <v/>
      </c>
      <c r="D31" s="14" t="str">
        <f t="shared" ca="1" si="22"/>
        <v/>
      </c>
      <c r="E31" s="98" t="str">
        <f t="shared" ca="1" si="11"/>
        <v/>
      </c>
      <c r="F31" s="98" t="str">
        <f t="shared" ca="1" si="12"/>
        <v/>
      </c>
      <c r="G31" s="98" t="str">
        <f t="shared" ca="1" si="13"/>
        <v/>
      </c>
      <c r="H31" s="13" t="str">
        <f t="shared" ca="1" si="14"/>
        <v/>
      </c>
      <c r="I31" s="15" t="str">
        <f t="shared" ca="1" si="15"/>
        <v/>
      </c>
      <c r="K31" s="16" t="str">
        <f t="shared" ca="1" si="23"/>
        <v/>
      </c>
      <c r="L31" s="13" t="str">
        <f t="shared" ca="1" si="19"/>
        <v/>
      </c>
      <c r="M31" s="14" t="str">
        <f t="shared" ca="1" si="16"/>
        <v/>
      </c>
      <c r="N31" s="15" t="str">
        <f t="shared" ca="1" si="17"/>
        <v/>
      </c>
      <c r="W31" s="11">
        <f t="shared" ca="1" si="0"/>
        <v>46439</v>
      </c>
      <c r="X31" s="10" t="str">
        <f t="shared" ca="1" si="1"/>
        <v>21022027</v>
      </c>
      <c r="Y31" s="10" t="b">
        <f t="shared" ca="1" si="2"/>
        <v>0</v>
      </c>
      <c r="Z31" s="10" t="str">
        <f ca="1">IF(Y31,COUNTIF($Y$2:$Y31,TRUE),"")</f>
        <v/>
      </c>
      <c r="AA31" s="10" t="str">
        <f t="shared" ca="1" si="3"/>
        <v/>
      </c>
      <c r="AB31" s="10" t="str">
        <f t="shared" ca="1" si="4"/>
        <v/>
      </c>
      <c r="AC31" s="10" t="str">
        <f t="shared" ca="1" si="5"/>
        <v/>
      </c>
      <c r="AD31" s="10" t="str">
        <f t="shared" ca="1" si="6"/>
        <v/>
      </c>
      <c r="AE31" s="10" t="str">
        <f t="shared" ca="1" si="7"/>
        <v/>
      </c>
      <c r="AF31" s="10" t="str">
        <f ca="1">IF(AND(Y31,AA31="ERREUR"),COUNTIF($AA$2:$AA31,"ERREUR"),"")</f>
        <v/>
      </c>
    </row>
    <row r="32" spans="2:32" ht="25" customHeight="1">
      <c r="B32" s="16" t="str">
        <f t="shared" ca="1" si="21"/>
        <v/>
      </c>
      <c r="C32" s="13" t="str">
        <f t="shared" ca="1" si="9"/>
        <v/>
      </c>
      <c r="D32" s="14" t="str">
        <f t="shared" ca="1" si="22"/>
        <v/>
      </c>
      <c r="E32" s="98" t="str">
        <f t="shared" ca="1" si="11"/>
        <v/>
      </c>
      <c r="F32" s="98" t="str">
        <f t="shared" ca="1" si="12"/>
        <v/>
      </c>
      <c r="G32" s="98" t="str">
        <f t="shared" ca="1" si="13"/>
        <v/>
      </c>
      <c r="H32" s="13" t="str">
        <f t="shared" ca="1" si="14"/>
        <v/>
      </c>
      <c r="I32" s="15" t="str">
        <f t="shared" ca="1" si="15"/>
        <v/>
      </c>
      <c r="K32" s="16" t="str">
        <f t="shared" ca="1" si="23"/>
        <v/>
      </c>
      <c r="L32" s="13" t="str">
        <f t="shared" ca="1" si="19"/>
        <v/>
      </c>
      <c r="M32" s="14" t="str">
        <f t="shared" ca="1" si="16"/>
        <v/>
      </c>
      <c r="N32" s="15" t="str">
        <f t="shared" ca="1" si="17"/>
        <v/>
      </c>
      <c r="W32" s="11">
        <f t="shared" ca="1" si="0"/>
        <v>46438</v>
      </c>
      <c r="X32" s="10" t="str">
        <f t="shared" ca="1" si="1"/>
        <v>20022027</v>
      </c>
      <c r="Y32" s="10" t="b">
        <f t="shared" ca="1" si="2"/>
        <v>0</v>
      </c>
      <c r="Z32" s="10" t="str">
        <f ca="1">IF(Y32,COUNTIF($Y$2:$Y32,TRUE),"")</f>
        <v/>
      </c>
      <c r="AA32" s="10" t="str">
        <f t="shared" ca="1" si="3"/>
        <v/>
      </c>
      <c r="AB32" s="10" t="str">
        <f t="shared" ca="1" si="4"/>
        <v/>
      </c>
      <c r="AC32" s="10" t="str">
        <f t="shared" ca="1" si="5"/>
        <v/>
      </c>
      <c r="AD32" s="10" t="str">
        <f t="shared" ca="1" si="6"/>
        <v/>
      </c>
      <c r="AE32" s="10" t="str">
        <f t="shared" ca="1" si="7"/>
        <v/>
      </c>
      <c r="AF32" s="10" t="str">
        <f ca="1">IF(AND(Y32,AA32="ERREUR"),COUNTIF($AA$2:$AA32,"ERREUR"),"")</f>
        <v/>
      </c>
    </row>
    <row r="33" spans="23:32" ht="25" customHeight="1">
      <c r="W33" s="11">
        <f t="shared" ca="1" si="0"/>
        <v>46437</v>
      </c>
      <c r="X33" s="10" t="str">
        <f t="shared" ca="1" si="1"/>
        <v>19022027</v>
      </c>
      <c r="Y33" s="10" t="b">
        <f t="shared" ca="1" si="2"/>
        <v>0</v>
      </c>
      <c r="Z33" s="10" t="str">
        <f ca="1">IF(Y33,COUNTIF($Y$2:$Y33,TRUE),"")</f>
        <v/>
      </c>
      <c r="AA33" s="10" t="str">
        <f t="shared" ca="1" si="3"/>
        <v/>
      </c>
      <c r="AB33" s="10" t="str">
        <f t="shared" ca="1" si="4"/>
        <v/>
      </c>
      <c r="AC33" s="10" t="str">
        <f t="shared" ca="1" si="5"/>
        <v/>
      </c>
      <c r="AD33" s="10" t="str">
        <f t="shared" ca="1" si="6"/>
        <v/>
      </c>
      <c r="AE33" s="10" t="str">
        <f t="shared" ca="1" si="7"/>
        <v/>
      </c>
      <c r="AF33" s="10" t="str">
        <f ca="1">IF(AND(Y33,AA33="ERREUR"),COUNTIF($AA$2:$AA33,"ERREUR"),"")</f>
        <v/>
      </c>
    </row>
    <row r="34" spans="23:32" ht="25" customHeight="1">
      <c r="W34" s="11">
        <f t="shared" ca="1" si="0"/>
        <v>46436</v>
      </c>
      <c r="X34" s="10" t="str">
        <f t="shared" ca="1" si="1"/>
        <v>18022027</v>
      </c>
      <c r="Y34" s="10" t="b">
        <f t="shared" ca="1" si="2"/>
        <v>0</v>
      </c>
      <c r="Z34" s="10" t="str">
        <f ca="1">IF(Y34,COUNTIF($Y$2:$Y34,TRUE),"")</f>
        <v/>
      </c>
      <c r="AA34" s="10" t="str">
        <f t="shared" ca="1" si="3"/>
        <v/>
      </c>
      <c r="AB34" s="10" t="str">
        <f t="shared" ca="1" si="4"/>
        <v/>
      </c>
      <c r="AC34" s="10" t="str">
        <f t="shared" ca="1" si="5"/>
        <v/>
      </c>
      <c r="AD34" s="10" t="str">
        <f t="shared" ca="1" si="6"/>
        <v/>
      </c>
      <c r="AE34" s="10" t="str">
        <f t="shared" ca="1" si="7"/>
        <v/>
      </c>
      <c r="AF34" s="10" t="str">
        <f ca="1">IF(AND(Y34,AA34="ERREUR"),COUNTIF($AA$2:$AA34,"ERREUR"),"")</f>
        <v/>
      </c>
    </row>
    <row r="35" spans="23:32" ht="25" customHeight="1">
      <c r="W35" s="11">
        <f t="shared" ca="1" si="0"/>
        <v>46435</v>
      </c>
      <c r="X35" s="10" t="str">
        <f t="shared" ca="1" si="1"/>
        <v>17022027</v>
      </c>
      <c r="Y35" s="10" t="b">
        <f t="shared" ca="1" si="2"/>
        <v>0</v>
      </c>
      <c r="Z35" s="10" t="str">
        <f ca="1">IF(Y35,COUNTIF($Y$2:$Y35,TRUE),"")</f>
        <v/>
      </c>
      <c r="AA35" s="10" t="str">
        <f t="shared" ca="1" si="3"/>
        <v/>
      </c>
      <c r="AB35" s="10" t="str">
        <f t="shared" ca="1" si="4"/>
        <v/>
      </c>
      <c r="AC35" s="10" t="str">
        <f t="shared" ca="1" si="5"/>
        <v/>
      </c>
      <c r="AD35" s="10" t="str">
        <f t="shared" ca="1" si="6"/>
        <v/>
      </c>
      <c r="AE35" s="10" t="str">
        <f t="shared" ca="1" si="7"/>
        <v/>
      </c>
      <c r="AF35" s="10" t="str">
        <f ca="1">IF(AND(Y35,AA35="ERREUR"),COUNTIF($AA$2:$AA35,"ERREUR"),"")</f>
        <v/>
      </c>
    </row>
    <row r="36" spans="23:32" ht="25" customHeight="1">
      <c r="W36" s="11">
        <f t="shared" ca="1" si="0"/>
        <v>46434</v>
      </c>
      <c r="X36" s="10" t="str">
        <f t="shared" ca="1" si="1"/>
        <v>16022027</v>
      </c>
      <c r="Y36" s="10" t="b">
        <f t="shared" ca="1" si="2"/>
        <v>0</v>
      </c>
      <c r="Z36" s="10" t="str">
        <f ca="1">IF(Y36,COUNTIF($Y$2:$Y36,TRUE),"")</f>
        <v/>
      </c>
      <c r="AA36" s="10" t="str">
        <f t="shared" ca="1" si="3"/>
        <v/>
      </c>
      <c r="AB36" s="10" t="str">
        <f t="shared" ca="1" si="4"/>
        <v/>
      </c>
      <c r="AC36" s="10" t="str">
        <f t="shared" ca="1" si="5"/>
        <v/>
      </c>
      <c r="AD36" s="10" t="str">
        <f t="shared" ca="1" si="6"/>
        <v/>
      </c>
      <c r="AE36" s="10" t="str">
        <f t="shared" ca="1" si="7"/>
        <v/>
      </c>
      <c r="AF36" s="10" t="str">
        <f ca="1">IF(AND(Y36,AA36="ERREUR"),COUNTIF($AA$2:$AA36,"ERREUR"),"")</f>
        <v/>
      </c>
    </row>
    <row r="37" spans="23:32" ht="25" customHeight="1">
      <c r="W37" s="11">
        <f t="shared" ca="1" si="0"/>
        <v>46433</v>
      </c>
      <c r="X37" s="10" t="str">
        <f t="shared" ca="1" si="1"/>
        <v>15022027</v>
      </c>
      <c r="Y37" s="10" t="b">
        <f t="shared" ca="1" si="2"/>
        <v>0</v>
      </c>
      <c r="Z37" s="10" t="str">
        <f ca="1">IF(Y37,COUNTIF($Y$2:$Y37,TRUE),"")</f>
        <v/>
      </c>
      <c r="AA37" s="10" t="str">
        <f t="shared" ca="1" si="3"/>
        <v/>
      </c>
      <c r="AB37" s="10" t="str">
        <f t="shared" ca="1" si="4"/>
        <v/>
      </c>
      <c r="AC37" s="10" t="str">
        <f t="shared" ca="1" si="5"/>
        <v/>
      </c>
      <c r="AD37" s="10" t="str">
        <f t="shared" ca="1" si="6"/>
        <v/>
      </c>
      <c r="AE37" s="10" t="str">
        <f t="shared" ca="1" si="7"/>
        <v/>
      </c>
      <c r="AF37" s="10" t="str">
        <f ca="1">IF(AND(Y37,AA37="ERREUR"),COUNTIF($AA$2:$AA37,"ERREUR"),"")</f>
        <v/>
      </c>
    </row>
    <row r="38" spans="23:32" ht="25" customHeight="1">
      <c r="W38" s="11">
        <f t="shared" ca="1" si="0"/>
        <v>46432</v>
      </c>
      <c r="X38" s="10" t="str">
        <f t="shared" ca="1" si="1"/>
        <v>14022027</v>
      </c>
      <c r="Y38" s="10" t="b">
        <f t="shared" ca="1" si="2"/>
        <v>0</v>
      </c>
      <c r="Z38" s="10" t="str">
        <f ca="1">IF(Y38,COUNTIF($Y$2:$Y38,TRUE),"")</f>
        <v/>
      </c>
      <c r="AA38" s="10" t="str">
        <f t="shared" ca="1" si="3"/>
        <v/>
      </c>
      <c r="AB38" s="10" t="str">
        <f t="shared" ca="1" si="4"/>
        <v/>
      </c>
      <c r="AC38" s="10" t="str">
        <f t="shared" ca="1" si="5"/>
        <v/>
      </c>
      <c r="AD38" s="10" t="str">
        <f t="shared" ca="1" si="6"/>
        <v/>
      </c>
      <c r="AE38" s="10" t="str">
        <f t="shared" ca="1" si="7"/>
        <v/>
      </c>
      <c r="AF38" s="10" t="str">
        <f ca="1">IF(AND(Y38,AA38="ERREUR"),COUNTIF($AA$2:$AA38,"ERREUR"),"")</f>
        <v/>
      </c>
    </row>
    <row r="39" spans="23:32" ht="25" customHeight="1">
      <c r="W39" s="11">
        <f t="shared" ca="1" si="0"/>
        <v>46431</v>
      </c>
      <c r="X39" s="10" t="str">
        <f t="shared" ca="1" si="1"/>
        <v>13022027</v>
      </c>
      <c r="Y39" s="10" t="b">
        <f t="shared" ca="1" si="2"/>
        <v>0</v>
      </c>
      <c r="Z39" s="10" t="str">
        <f ca="1">IF(Y39,COUNTIF($Y$2:$Y39,TRUE),"")</f>
        <v/>
      </c>
      <c r="AA39" s="10" t="str">
        <f t="shared" ca="1" si="3"/>
        <v/>
      </c>
      <c r="AB39" s="10" t="str">
        <f t="shared" ca="1" si="4"/>
        <v/>
      </c>
      <c r="AC39" s="10" t="str">
        <f t="shared" ca="1" si="5"/>
        <v/>
      </c>
      <c r="AD39" s="10" t="str">
        <f t="shared" ca="1" si="6"/>
        <v/>
      </c>
      <c r="AE39" s="10" t="str">
        <f t="shared" ca="1" si="7"/>
        <v/>
      </c>
      <c r="AF39" s="10" t="str">
        <f ca="1">IF(AND(Y39,AA39="ERREUR"),COUNTIF($AA$2:$AA39,"ERREUR"),"")</f>
        <v/>
      </c>
    </row>
    <row r="40" spans="23:32" ht="25" customHeight="1">
      <c r="W40" s="11">
        <f t="shared" ca="1" si="0"/>
        <v>46430</v>
      </c>
      <c r="X40" s="10" t="str">
        <f t="shared" ca="1" si="1"/>
        <v>12022027</v>
      </c>
      <c r="Y40" s="10" t="b">
        <f t="shared" ca="1" si="2"/>
        <v>0</v>
      </c>
      <c r="Z40" s="10" t="str">
        <f ca="1">IF(Y40,COUNTIF($Y$2:$Y40,TRUE),"")</f>
        <v/>
      </c>
      <c r="AA40" s="10" t="str">
        <f t="shared" ca="1" si="3"/>
        <v/>
      </c>
      <c r="AB40" s="10" t="str">
        <f t="shared" ca="1" si="4"/>
        <v/>
      </c>
      <c r="AC40" s="10" t="str">
        <f t="shared" ca="1" si="5"/>
        <v/>
      </c>
      <c r="AD40" s="10" t="str">
        <f t="shared" ca="1" si="6"/>
        <v/>
      </c>
      <c r="AE40" s="10" t="str">
        <f t="shared" ca="1" si="7"/>
        <v/>
      </c>
      <c r="AF40" s="10" t="str">
        <f ca="1">IF(AND(Y40,AA40="ERREUR"),COUNTIF($AA$2:$AA40,"ERREUR"),"")</f>
        <v/>
      </c>
    </row>
    <row r="41" spans="23:32" ht="25" customHeight="1">
      <c r="W41" s="11">
        <f t="shared" ca="1" si="0"/>
        <v>46429</v>
      </c>
      <c r="X41" s="10" t="str">
        <f t="shared" ca="1" si="1"/>
        <v>11022027</v>
      </c>
      <c r="Y41" s="10" t="b">
        <f t="shared" ca="1" si="2"/>
        <v>0</v>
      </c>
      <c r="Z41" s="10" t="str">
        <f ca="1">IF(Y41,COUNTIF($Y$2:$Y41,TRUE),"")</f>
        <v/>
      </c>
      <c r="AA41" s="10" t="str">
        <f t="shared" ca="1" si="3"/>
        <v/>
      </c>
      <c r="AB41" s="10" t="str">
        <f t="shared" ca="1" si="4"/>
        <v/>
      </c>
      <c r="AC41" s="10" t="str">
        <f t="shared" ca="1" si="5"/>
        <v/>
      </c>
      <c r="AD41" s="10" t="str">
        <f t="shared" ca="1" si="6"/>
        <v/>
      </c>
      <c r="AE41" s="10" t="str">
        <f t="shared" ca="1" si="7"/>
        <v/>
      </c>
      <c r="AF41" s="10" t="str">
        <f ca="1">IF(AND(Y41,AA41="ERREUR"),COUNTIF($AA$2:$AA41,"ERREUR"),"")</f>
        <v/>
      </c>
    </row>
    <row r="42" spans="23:32" ht="25" customHeight="1">
      <c r="W42" s="11">
        <f t="shared" ca="1" si="0"/>
        <v>46428</v>
      </c>
      <c r="X42" s="10" t="str">
        <f t="shared" ca="1" si="1"/>
        <v>10022027</v>
      </c>
      <c r="Y42" s="10" t="b">
        <f t="shared" ca="1" si="2"/>
        <v>0</v>
      </c>
      <c r="Z42" s="10" t="str">
        <f ca="1">IF(Y42,COUNTIF($Y$2:$Y42,TRUE),"")</f>
        <v/>
      </c>
      <c r="AA42" s="10" t="str">
        <f t="shared" ca="1" si="3"/>
        <v/>
      </c>
      <c r="AB42" s="10" t="str">
        <f t="shared" ca="1" si="4"/>
        <v/>
      </c>
      <c r="AC42" s="10" t="str">
        <f t="shared" ca="1" si="5"/>
        <v/>
      </c>
      <c r="AD42" s="10" t="str">
        <f t="shared" ca="1" si="6"/>
        <v/>
      </c>
      <c r="AE42" s="10" t="str">
        <f t="shared" ca="1" si="7"/>
        <v/>
      </c>
      <c r="AF42" s="10" t="str">
        <f ca="1">IF(AND(Y42,AA42="ERREUR"),COUNTIF($AA$2:$AA42,"ERREUR"),"")</f>
        <v/>
      </c>
    </row>
    <row r="43" spans="23:32" ht="25" customHeight="1">
      <c r="W43" s="11">
        <f t="shared" ca="1" si="0"/>
        <v>46427</v>
      </c>
      <c r="X43" s="10" t="str">
        <f t="shared" ca="1" si="1"/>
        <v>09022027</v>
      </c>
      <c r="Y43" s="10" t="b">
        <f t="shared" ca="1" si="2"/>
        <v>0</v>
      </c>
      <c r="Z43" s="10" t="str">
        <f ca="1">IF(Y43,COUNTIF($Y$2:$Y43,TRUE),"")</f>
        <v/>
      </c>
      <c r="AA43" s="10" t="str">
        <f t="shared" ca="1" si="3"/>
        <v/>
      </c>
      <c r="AB43" s="10" t="str">
        <f t="shared" ca="1" si="4"/>
        <v/>
      </c>
      <c r="AC43" s="10" t="str">
        <f t="shared" ca="1" si="5"/>
        <v/>
      </c>
      <c r="AD43" s="10" t="str">
        <f t="shared" ca="1" si="6"/>
        <v/>
      </c>
      <c r="AE43" s="10" t="str">
        <f t="shared" ca="1" si="7"/>
        <v/>
      </c>
      <c r="AF43" s="10" t="str">
        <f ca="1">IF(AND(Y43,AA43="ERREUR"),COUNTIF($AA$2:$AA43,"ERREUR"),"")</f>
        <v/>
      </c>
    </row>
    <row r="44" spans="23:32" ht="25" customHeight="1">
      <c r="W44" s="11">
        <f t="shared" ca="1" si="0"/>
        <v>46426</v>
      </c>
      <c r="X44" s="10" t="str">
        <f t="shared" ca="1" si="1"/>
        <v>08022027</v>
      </c>
      <c r="Y44" s="10" t="b">
        <f t="shared" ca="1" si="2"/>
        <v>0</v>
      </c>
      <c r="Z44" s="10" t="str">
        <f ca="1">IF(Y44,COUNTIF($Y$2:$Y44,TRUE),"")</f>
        <v/>
      </c>
      <c r="AA44" s="10" t="str">
        <f t="shared" ca="1" si="3"/>
        <v/>
      </c>
      <c r="AB44" s="10" t="str">
        <f t="shared" ca="1" si="4"/>
        <v/>
      </c>
      <c r="AC44" s="10" t="str">
        <f t="shared" ca="1" si="5"/>
        <v/>
      </c>
      <c r="AD44" s="10" t="str">
        <f t="shared" ca="1" si="6"/>
        <v/>
      </c>
      <c r="AE44" s="10" t="str">
        <f t="shared" ca="1" si="7"/>
        <v/>
      </c>
      <c r="AF44" s="10" t="str">
        <f ca="1">IF(AND(Y44,AA44="ERREUR"),COUNTIF($AA$2:$AA44,"ERREUR"),"")</f>
        <v/>
      </c>
    </row>
    <row r="45" spans="23:32" ht="25" customHeight="1">
      <c r="W45" s="11">
        <f t="shared" ca="1" si="0"/>
        <v>46425</v>
      </c>
      <c r="X45" s="10" t="str">
        <f t="shared" ca="1" si="1"/>
        <v>07022027</v>
      </c>
      <c r="Y45" s="10" t="b">
        <f t="shared" ca="1" si="2"/>
        <v>0</v>
      </c>
      <c r="Z45" s="10" t="str">
        <f ca="1">IF(Y45,COUNTIF($Y$2:$Y45,TRUE),"")</f>
        <v/>
      </c>
      <c r="AA45" s="10" t="str">
        <f t="shared" ca="1" si="3"/>
        <v/>
      </c>
      <c r="AB45" s="10" t="str">
        <f t="shared" ca="1" si="4"/>
        <v/>
      </c>
      <c r="AC45" s="10" t="str">
        <f t="shared" ca="1" si="5"/>
        <v/>
      </c>
      <c r="AD45" s="10" t="str">
        <f t="shared" ca="1" si="6"/>
        <v/>
      </c>
      <c r="AE45" s="10" t="str">
        <f t="shared" ca="1" si="7"/>
        <v/>
      </c>
      <c r="AF45" s="10" t="str">
        <f ca="1">IF(AND(Y45,AA45="ERREUR"),COUNTIF($AA$2:$AA45,"ERREUR"),"")</f>
        <v/>
      </c>
    </row>
    <row r="46" spans="23:32" ht="25" customHeight="1">
      <c r="W46" s="11">
        <f t="shared" ca="1" si="0"/>
        <v>46424</v>
      </c>
      <c r="X46" s="10" t="str">
        <f t="shared" ca="1" si="1"/>
        <v>06022027</v>
      </c>
      <c r="Y46" s="10" t="b">
        <f t="shared" ca="1" si="2"/>
        <v>0</v>
      </c>
      <c r="Z46" s="10" t="str">
        <f ca="1">IF(Y46,COUNTIF($Y$2:$Y46,TRUE),"")</f>
        <v/>
      </c>
      <c r="AA46" s="10" t="str">
        <f t="shared" ca="1" si="3"/>
        <v/>
      </c>
      <c r="AB46" s="10" t="str">
        <f t="shared" ca="1" si="4"/>
        <v/>
      </c>
      <c r="AC46" s="10" t="str">
        <f t="shared" ca="1" si="5"/>
        <v/>
      </c>
      <c r="AD46" s="10" t="str">
        <f t="shared" ca="1" si="6"/>
        <v/>
      </c>
      <c r="AE46" s="10" t="str">
        <f t="shared" ca="1" si="7"/>
        <v/>
      </c>
      <c r="AF46" s="10" t="str">
        <f ca="1">IF(AND(Y46,AA46="ERREUR"),COUNTIF($AA$2:$AA46,"ERREUR"),"")</f>
        <v/>
      </c>
    </row>
    <row r="47" spans="23:32" ht="25" customHeight="1">
      <c r="W47" s="11">
        <f t="shared" ca="1" si="0"/>
        <v>46423</v>
      </c>
      <c r="X47" s="10" t="str">
        <f t="shared" ca="1" si="1"/>
        <v>05022027</v>
      </c>
      <c r="Y47" s="10" t="b">
        <f t="shared" ca="1" si="2"/>
        <v>0</v>
      </c>
      <c r="Z47" s="10" t="str">
        <f ca="1">IF(Y47,COUNTIF($Y$2:$Y47,TRUE),"")</f>
        <v/>
      </c>
      <c r="AA47" s="10" t="str">
        <f t="shared" ca="1" si="3"/>
        <v/>
      </c>
      <c r="AB47" s="10" t="str">
        <f t="shared" ca="1" si="4"/>
        <v/>
      </c>
      <c r="AC47" s="10" t="str">
        <f t="shared" ca="1" si="5"/>
        <v/>
      </c>
      <c r="AD47" s="10" t="str">
        <f t="shared" ca="1" si="6"/>
        <v/>
      </c>
      <c r="AE47" s="10" t="str">
        <f t="shared" ca="1" si="7"/>
        <v/>
      </c>
      <c r="AF47" s="10" t="str">
        <f ca="1">IF(AND(Y47,AA47="ERREUR"),COUNTIF($AA$2:$AA47,"ERREUR"),"")</f>
        <v/>
      </c>
    </row>
    <row r="48" spans="23:32" ht="25" customHeight="1">
      <c r="W48" s="11">
        <f t="shared" ca="1" si="0"/>
        <v>46422</v>
      </c>
      <c r="X48" s="10" t="str">
        <f t="shared" ca="1" si="1"/>
        <v>04022027</v>
      </c>
      <c r="Y48" s="10" t="b">
        <f t="shared" ca="1" si="2"/>
        <v>0</v>
      </c>
      <c r="Z48" s="10" t="str">
        <f ca="1">IF(Y48,COUNTIF($Y$2:$Y48,TRUE),"")</f>
        <v/>
      </c>
      <c r="AA48" s="10" t="str">
        <f t="shared" ca="1" si="3"/>
        <v/>
      </c>
      <c r="AB48" s="10" t="str">
        <f t="shared" ca="1" si="4"/>
        <v/>
      </c>
      <c r="AC48" s="10" t="str">
        <f t="shared" ca="1" si="5"/>
        <v/>
      </c>
      <c r="AD48" s="10" t="str">
        <f t="shared" ca="1" si="6"/>
        <v/>
      </c>
      <c r="AE48" s="10" t="str">
        <f t="shared" ca="1" si="7"/>
        <v/>
      </c>
      <c r="AF48" s="10" t="str">
        <f ca="1">IF(AND(Y48,AA48="ERREUR"),COUNTIF($AA$2:$AA48,"ERREUR"),"")</f>
        <v/>
      </c>
    </row>
    <row r="49" spans="23:32" ht="25" customHeight="1">
      <c r="W49" s="11">
        <f t="shared" ca="1" si="0"/>
        <v>46421</v>
      </c>
      <c r="X49" s="10" t="str">
        <f t="shared" ca="1" si="1"/>
        <v>03022027</v>
      </c>
      <c r="Y49" s="10" t="b">
        <f t="shared" ca="1" si="2"/>
        <v>0</v>
      </c>
      <c r="Z49" s="10" t="str">
        <f ca="1">IF(Y49,COUNTIF($Y$2:$Y49,TRUE),"")</f>
        <v/>
      </c>
      <c r="AA49" s="10" t="str">
        <f t="shared" ca="1" si="3"/>
        <v/>
      </c>
      <c r="AB49" s="10" t="str">
        <f t="shared" ca="1" si="4"/>
        <v/>
      </c>
      <c r="AC49" s="10" t="str">
        <f t="shared" ca="1" si="5"/>
        <v/>
      </c>
      <c r="AD49" s="10" t="str">
        <f t="shared" ca="1" si="6"/>
        <v/>
      </c>
      <c r="AE49" s="10" t="str">
        <f t="shared" ca="1" si="7"/>
        <v/>
      </c>
      <c r="AF49" s="10" t="str">
        <f ca="1">IF(AND(Y49,AA49="ERREUR"),COUNTIF($AA$2:$AA49,"ERREUR"),"")</f>
        <v/>
      </c>
    </row>
    <row r="50" spans="23:32" ht="25" customHeight="1">
      <c r="W50" s="11">
        <f t="shared" ca="1" si="0"/>
        <v>46420</v>
      </c>
      <c r="X50" s="10" t="str">
        <f t="shared" ca="1" si="1"/>
        <v>02022027</v>
      </c>
      <c r="Y50" s="10" t="b">
        <f t="shared" ca="1" si="2"/>
        <v>0</v>
      </c>
      <c r="Z50" s="10" t="str">
        <f ca="1">IF(Y50,COUNTIF($Y$2:$Y50,TRUE),"")</f>
        <v/>
      </c>
      <c r="AA50" s="10" t="str">
        <f t="shared" ca="1" si="3"/>
        <v/>
      </c>
      <c r="AB50" s="10" t="str">
        <f t="shared" ca="1" si="4"/>
        <v/>
      </c>
      <c r="AC50" s="10" t="str">
        <f t="shared" ca="1" si="5"/>
        <v/>
      </c>
      <c r="AD50" s="10" t="str">
        <f t="shared" ca="1" si="6"/>
        <v/>
      </c>
      <c r="AE50" s="10" t="str">
        <f t="shared" ca="1" si="7"/>
        <v/>
      </c>
      <c r="AF50" s="10" t="str">
        <f ca="1">IF(AND(Y50,AA50="ERREUR"),COUNTIF($AA$2:$AA50,"ERREUR"),"")</f>
        <v/>
      </c>
    </row>
    <row r="51" spans="23:32" ht="25" customHeight="1">
      <c r="W51" s="11">
        <f t="shared" ca="1" si="0"/>
        <v>46419</v>
      </c>
      <c r="X51" s="10" t="str">
        <f t="shared" ca="1" si="1"/>
        <v>01022027</v>
      </c>
      <c r="Y51" s="10" t="b">
        <f t="shared" ca="1" si="2"/>
        <v>0</v>
      </c>
      <c r="Z51" s="10" t="str">
        <f ca="1">IF(Y51,COUNTIF($Y$2:$Y51,TRUE),"")</f>
        <v/>
      </c>
      <c r="AA51" s="10" t="str">
        <f t="shared" ca="1" si="3"/>
        <v/>
      </c>
      <c r="AB51" s="10" t="str">
        <f t="shared" ca="1" si="4"/>
        <v/>
      </c>
      <c r="AC51" s="10" t="str">
        <f t="shared" ca="1" si="5"/>
        <v/>
      </c>
      <c r="AD51" s="10" t="str">
        <f t="shared" ca="1" si="6"/>
        <v/>
      </c>
      <c r="AE51" s="10" t="str">
        <f t="shared" ca="1" si="7"/>
        <v/>
      </c>
      <c r="AF51" s="10" t="str">
        <f ca="1">IF(AND(Y51,AA51="ERREUR"),COUNTIF($AA$2:$AA51,"ERREUR"),"")</f>
        <v/>
      </c>
    </row>
    <row r="52" spans="23:32" ht="25" customHeight="1">
      <c r="W52" s="11">
        <f t="shared" ca="1" si="0"/>
        <v>46418</v>
      </c>
      <c r="X52" s="10" t="str">
        <f t="shared" ca="1" si="1"/>
        <v>31012027</v>
      </c>
      <c r="Y52" s="10" t="b">
        <f t="shared" ca="1" si="2"/>
        <v>0</v>
      </c>
      <c r="Z52" s="10" t="str">
        <f ca="1">IF(Y52,COUNTIF($Y$2:$Y52,TRUE),"")</f>
        <v/>
      </c>
      <c r="AA52" s="10" t="str">
        <f t="shared" ca="1" si="3"/>
        <v/>
      </c>
      <c r="AB52" s="10" t="str">
        <f t="shared" ca="1" si="4"/>
        <v/>
      </c>
      <c r="AC52" s="10" t="str">
        <f t="shared" ca="1" si="5"/>
        <v/>
      </c>
      <c r="AD52" s="10" t="str">
        <f t="shared" ca="1" si="6"/>
        <v/>
      </c>
      <c r="AE52" s="10" t="str">
        <f t="shared" ca="1" si="7"/>
        <v/>
      </c>
      <c r="AF52" s="10" t="str">
        <f ca="1">IF(AND(Y52,AA52="ERREUR"),COUNTIF($AA$2:$AA52,"ERREUR"),"")</f>
        <v/>
      </c>
    </row>
    <row r="53" spans="23:32" ht="25" customHeight="1">
      <c r="W53" s="11">
        <f t="shared" ca="1" si="0"/>
        <v>46417</v>
      </c>
      <c r="X53" s="10" t="str">
        <f t="shared" ca="1" si="1"/>
        <v>30012027</v>
      </c>
      <c r="Y53" s="10" t="b">
        <f t="shared" ca="1" si="2"/>
        <v>0</v>
      </c>
      <c r="Z53" s="10" t="str">
        <f ca="1">IF(Y53,COUNTIF($Y$2:$Y53,TRUE),"")</f>
        <v/>
      </c>
      <c r="AA53" s="10" t="str">
        <f t="shared" ca="1" si="3"/>
        <v/>
      </c>
      <c r="AB53" s="10" t="str">
        <f t="shared" ca="1" si="4"/>
        <v/>
      </c>
      <c r="AC53" s="10" t="str">
        <f t="shared" ca="1" si="5"/>
        <v/>
      </c>
      <c r="AD53" s="10" t="str">
        <f t="shared" ca="1" si="6"/>
        <v/>
      </c>
      <c r="AE53" s="10" t="str">
        <f t="shared" ca="1" si="7"/>
        <v/>
      </c>
      <c r="AF53" s="10" t="str">
        <f ca="1">IF(AND(Y53,AA53="ERREUR"),COUNTIF($AA$2:$AA53,"ERREUR"),"")</f>
        <v/>
      </c>
    </row>
    <row r="54" spans="23:32" ht="25" customHeight="1">
      <c r="W54" s="11">
        <f t="shared" ca="1" si="0"/>
        <v>46416</v>
      </c>
      <c r="X54" s="10" t="str">
        <f t="shared" ca="1" si="1"/>
        <v>29012027</v>
      </c>
      <c r="Y54" s="10" t="b">
        <f t="shared" ca="1" si="2"/>
        <v>0</v>
      </c>
      <c r="Z54" s="10" t="str">
        <f ca="1">IF(Y54,COUNTIF($Y$2:$Y54,TRUE),"")</f>
        <v/>
      </c>
      <c r="AA54" s="10" t="str">
        <f t="shared" ca="1" si="3"/>
        <v/>
      </c>
      <c r="AB54" s="10" t="str">
        <f t="shared" ca="1" si="4"/>
        <v/>
      </c>
      <c r="AC54" s="10" t="str">
        <f t="shared" ca="1" si="5"/>
        <v/>
      </c>
      <c r="AD54" s="10" t="str">
        <f t="shared" ca="1" si="6"/>
        <v/>
      </c>
      <c r="AE54" s="10" t="str">
        <f t="shared" ca="1" si="7"/>
        <v/>
      </c>
      <c r="AF54" s="10" t="str">
        <f ca="1">IF(AND(Y54,AA54="ERREUR"),COUNTIF($AA$2:$AA54,"ERREUR"),"")</f>
        <v/>
      </c>
    </row>
    <row r="55" spans="23:32" ht="25" customHeight="1">
      <c r="W55" s="11">
        <f t="shared" ca="1" si="0"/>
        <v>46415</v>
      </c>
      <c r="X55" s="10" t="str">
        <f t="shared" ca="1" si="1"/>
        <v>28012027</v>
      </c>
      <c r="Y55" s="10" t="b">
        <f t="shared" ca="1" si="2"/>
        <v>0</v>
      </c>
      <c r="Z55" s="10" t="str">
        <f ca="1">IF(Y55,COUNTIF($Y$2:$Y55,TRUE),"")</f>
        <v/>
      </c>
      <c r="AA55" s="10" t="str">
        <f t="shared" ca="1" si="3"/>
        <v/>
      </c>
      <c r="AB55" s="10" t="str">
        <f t="shared" ca="1" si="4"/>
        <v/>
      </c>
      <c r="AC55" s="10" t="str">
        <f t="shared" ca="1" si="5"/>
        <v/>
      </c>
      <c r="AD55" s="10" t="str">
        <f t="shared" ca="1" si="6"/>
        <v/>
      </c>
      <c r="AE55" s="10" t="str">
        <f t="shared" ca="1" si="7"/>
        <v/>
      </c>
      <c r="AF55" s="10" t="str">
        <f ca="1">IF(AND(Y55,AA55="ERREUR"),COUNTIF($AA$2:$AA55,"ERREUR"),"")</f>
        <v/>
      </c>
    </row>
    <row r="56" spans="23:32" ht="25" customHeight="1">
      <c r="W56" s="11">
        <f t="shared" ca="1" si="0"/>
        <v>46414</v>
      </c>
      <c r="X56" s="10" t="str">
        <f t="shared" ca="1" si="1"/>
        <v>27012027</v>
      </c>
      <c r="Y56" s="10" t="b">
        <f t="shared" ca="1" si="2"/>
        <v>0</v>
      </c>
      <c r="Z56" s="10" t="str">
        <f ca="1">IF(Y56,COUNTIF($Y$2:$Y56,TRUE),"")</f>
        <v/>
      </c>
      <c r="AA56" s="10" t="str">
        <f t="shared" ca="1" si="3"/>
        <v/>
      </c>
      <c r="AB56" s="10" t="str">
        <f t="shared" ca="1" si="4"/>
        <v/>
      </c>
      <c r="AC56" s="10" t="str">
        <f t="shared" ca="1" si="5"/>
        <v/>
      </c>
      <c r="AD56" s="10" t="str">
        <f t="shared" ca="1" si="6"/>
        <v/>
      </c>
      <c r="AE56" s="10" t="str">
        <f t="shared" ca="1" si="7"/>
        <v/>
      </c>
      <c r="AF56" s="10" t="str">
        <f ca="1">IF(AND(Y56,AA56="ERREUR"),COUNTIF($AA$2:$AA56,"ERREUR"),"")</f>
        <v/>
      </c>
    </row>
    <row r="57" spans="23:32" ht="25" customHeight="1">
      <c r="W57" s="11">
        <f t="shared" ca="1" si="0"/>
        <v>46413</v>
      </c>
      <c r="X57" s="10" t="str">
        <f t="shared" ca="1" si="1"/>
        <v>26012027</v>
      </c>
      <c r="Y57" s="10" t="b">
        <f t="shared" ca="1" si="2"/>
        <v>0</v>
      </c>
      <c r="Z57" s="10" t="str">
        <f ca="1">IF(Y57,COUNTIF($Y$2:$Y57,TRUE),"")</f>
        <v/>
      </c>
      <c r="AA57" s="10" t="str">
        <f t="shared" ca="1" si="3"/>
        <v/>
      </c>
      <c r="AB57" s="10" t="str">
        <f t="shared" ca="1" si="4"/>
        <v/>
      </c>
      <c r="AC57" s="10" t="str">
        <f t="shared" ca="1" si="5"/>
        <v/>
      </c>
      <c r="AD57" s="10" t="str">
        <f t="shared" ca="1" si="6"/>
        <v/>
      </c>
      <c r="AE57" s="10" t="str">
        <f t="shared" ca="1" si="7"/>
        <v/>
      </c>
      <c r="AF57" s="10" t="str">
        <f ca="1">IF(AND(Y57,AA57="ERREUR"),COUNTIF($AA$2:$AA57,"ERREUR"),"")</f>
        <v/>
      </c>
    </row>
    <row r="58" spans="23:32" ht="25" customHeight="1">
      <c r="W58" s="11">
        <f t="shared" ca="1" si="0"/>
        <v>46412</v>
      </c>
      <c r="X58" s="10" t="str">
        <f t="shared" ca="1" si="1"/>
        <v>25012027</v>
      </c>
      <c r="Y58" s="10" t="b">
        <f t="shared" ca="1" si="2"/>
        <v>0</v>
      </c>
      <c r="Z58" s="10" t="str">
        <f ca="1">IF(Y58,COUNTIF($Y$2:$Y58,TRUE),"")</f>
        <v/>
      </c>
      <c r="AA58" s="10" t="str">
        <f t="shared" ca="1" si="3"/>
        <v/>
      </c>
      <c r="AB58" s="10" t="str">
        <f t="shared" ca="1" si="4"/>
        <v/>
      </c>
      <c r="AC58" s="10" t="str">
        <f t="shared" ca="1" si="5"/>
        <v/>
      </c>
      <c r="AD58" s="10" t="str">
        <f t="shared" ca="1" si="6"/>
        <v/>
      </c>
      <c r="AE58" s="10" t="str">
        <f t="shared" ca="1" si="7"/>
        <v/>
      </c>
      <c r="AF58" s="10" t="str">
        <f ca="1">IF(AND(Y58,AA58="ERREUR"),COUNTIF($AA$2:$AA58,"ERREUR"),"")</f>
        <v/>
      </c>
    </row>
    <row r="59" spans="23:32" ht="25" customHeight="1">
      <c r="W59" s="11">
        <f t="shared" ca="1" si="0"/>
        <v>46411</v>
      </c>
      <c r="X59" s="10" t="str">
        <f t="shared" ca="1" si="1"/>
        <v>24012027</v>
      </c>
      <c r="Y59" s="10" t="b">
        <f t="shared" ca="1" si="2"/>
        <v>0</v>
      </c>
      <c r="Z59" s="10" t="str">
        <f ca="1">IF(Y59,COUNTIF($Y$2:$Y59,TRUE),"")</f>
        <v/>
      </c>
      <c r="AA59" s="10" t="str">
        <f t="shared" ca="1" si="3"/>
        <v/>
      </c>
      <c r="AB59" s="10" t="str">
        <f t="shared" ca="1" si="4"/>
        <v/>
      </c>
      <c r="AC59" s="10" t="str">
        <f t="shared" ca="1" si="5"/>
        <v/>
      </c>
      <c r="AD59" s="10" t="str">
        <f t="shared" ca="1" si="6"/>
        <v/>
      </c>
      <c r="AE59" s="10" t="str">
        <f t="shared" ca="1" si="7"/>
        <v/>
      </c>
      <c r="AF59" s="10" t="str">
        <f ca="1">IF(AND(Y59,AA59="ERREUR"),COUNTIF($AA$2:$AA59,"ERREUR"),"")</f>
        <v/>
      </c>
    </row>
    <row r="60" spans="23:32" ht="25" customHeight="1">
      <c r="W60" s="11">
        <f t="shared" ca="1" si="0"/>
        <v>46410</v>
      </c>
      <c r="X60" s="10" t="str">
        <f t="shared" ca="1" si="1"/>
        <v>23012027</v>
      </c>
      <c r="Y60" s="10" t="b">
        <f t="shared" ca="1" si="2"/>
        <v>0</v>
      </c>
      <c r="Z60" s="10" t="str">
        <f ca="1">IF(Y60,COUNTIF($Y$2:$Y60,TRUE),"")</f>
        <v/>
      </c>
      <c r="AA60" s="10" t="str">
        <f t="shared" ca="1" si="3"/>
        <v/>
      </c>
      <c r="AB60" s="10" t="str">
        <f t="shared" ca="1" si="4"/>
        <v/>
      </c>
      <c r="AC60" s="10" t="str">
        <f t="shared" ca="1" si="5"/>
        <v/>
      </c>
      <c r="AD60" s="10" t="str">
        <f t="shared" ca="1" si="6"/>
        <v/>
      </c>
      <c r="AE60" s="10" t="str">
        <f t="shared" ca="1" si="7"/>
        <v/>
      </c>
      <c r="AF60" s="10" t="str">
        <f ca="1">IF(AND(Y60,AA60="ERREUR"),COUNTIF($AA$2:$AA60,"ERREUR"),"")</f>
        <v/>
      </c>
    </row>
    <row r="61" spans="23:32" ht="25" customHeight="1">
      <c r="W61" s="11">
        <f t="shared" ca="1" si="0"/>
        <v>46409</v>
      </c>
      <c r="X61" s="10" t="str">
        <f t="shared" ca="1" si="1"/>
        <v>22012027</v>
      </c>
      <c r="Y61" s="10" t="b">
        <f t="shared" ca="1" si="2"/>
        <v>0</v>
      </c>
      <c r="Z61" s="10" t="str">
        <f ca="1">IF(Y61,COUNTIF($Y$2:$Y61,TRUE),"")</f>
        <v/>
      </c>
      <c r="AA61" s="10" t="str">
        <f t="shared" ca="1" si="3"/>
        <v/>
      </c>
      <c r="AB61" s="10" t="str">
        <f t="shared" ca="1" si="4"/>
        <v/>
      </c>
      <c r="AC61" s="10" t="str">
        <f t="shared" ca="1" si="5"/>
        <v/>
      </c>
      <c r="AD61" s="10" t="str">
        <f t="shared" ca="1" si="6"/>
        <v/>
      </c>
      <c r="AE61" s="10" t="str">
        <f t="shared" ca="1" si="7"/>
        <v/>
      </c>
      <c r="AF61" s="10" t="str">
        <f ca="1">IF(AND(Y61,AA61="ERREUR"),COUNTIF($AA$2:$AA61,"ERREUR"),"")</f>
        <v/>
      </c>
    </row>
    <row r="62" spans="23:32" ht="25" customHeight="1">
      <c r="W62" s="11">
        <f t="shared" ca="1" si="0"/>
        <v>46408</v>
      </c>
      <c r="X62" s="10" t="str">
        <f t="shared" ca="1" si="1"/>
        <v>21012027</v>
      </c>
      <c r="Y62" s="10" t="b">
        <f t="shared" ca="1" si="2"/>
        <v>0</v>
      </c>
      <c r="Z62" s="10" t="str">
        <f ca="1">IF(Y62,COUNTIF($Y$2:$Y62,TRUE),"")</f>
        <v/>
      </c>
      <c r="AA62" s="10" t="str">
        <f t="shared" ca="1" si="3"/>
        <v/>
      </c>
      <c r="AB62" s="10" t="str">
        <f t="shared" ca="1" si="4"/>
        <v/>
      </c>
      <c r="AC62" s="10" t="str">
        <f t="shared" ca="1" si="5"/>
        <v/>
      </c>
      <c r="AD62" s="10" t="str">
        <f t="shared" ca="1" si="6"/>
        <v/>
      </c>
      <c r="AE62" s="10" t="str">
        <f t="shared" ca="1" si="7"/>
        <v/>
      </c>
      <c r="AF62" s="10" t="str">
        <f ca="1">IF(AND(Y62,AA62="ERREUR"),COUNTIF($AA$2:$AA62,"ERREUR"),"")</f>
        <v/>
      </c>
    </row>
    <row r="63" spans="23:32" ht="25" customHeight="1">
      <c r="W63" s="11">
        <f t="shared" ca="1" si="0"/>
        <v>46407</v>
      </c>
      <c r="X63" s="10" t="str">
        <f t="shared" ca="1" si="1"/>
        <v>20012027</v>
      </c>
      <c r="Y63" s="10" t="b">
        <f t="shared" ca="1" si="2"/>
        <v>0</v>
      </c>
      <c r="Z63" s="10" t="str">
        <f ca="1">IF(Y63,COUNTIF($Y$2:$Y63,TRUE),"")</f>
        <v/>
      </c>
      <c r="AA63" s="10" t="str">
        <f t="shared" ca="1" si="3"/>
        <v/>
      </c>
      <c r="AB63" s="10" t="str">
        <f t="shared" ca="1" si="4"/>
        <v/>
      </c>
      <c r="AC63" s="10" t="str">
        <f t="shared" ca="1" si="5"/>
        <v/>
      </c>
      <c r="AD63" s="10" t="str">
        <f t="shared" ca="1" si="6"/>
        <v/>
      </c>
      <c r="AE63" s="10" t="str">
        <f t="shared" ca="1" si="7"/>
        <v/>
      </c>
      <c r="AF63" s="10" t="str">
        <f ca="1">IF(AND(Y63,AA63="ERREUR"),COUNTIF($AA$2:$AA63,"ERREUR"),"")</f>
        <v/>
      </c>
    </row>
    <row r="64" spans="23:32" ht="25" customHeight="1">
      <c r="W64" s="11">
        <f t="shared" ca="1" si="0"/>
        <v>46406</v>
      </c>
      <c r="X64" s="10" t="str">
        <f t="shared" ca="1" si="1"/>
        <v>19012027</v>
      </c>
      <c r="Y64" s="10" t="b">
        <f t="shared" ca="1" si="2"/>
        <v>0</v>
      </c>
      <c r="Z64" s="10" t="str">
        <f ca="1">IF(Y64,COUNTIF($Y$2:$Y64,TRUE),"")</f>
        <v/>
      </c>
      <c r="AA64" s="10" t="str">
        <f t="shared" ca="1" si="3"/>
        <v/>
      </c>
      <c r="AB64" s="10" t="str">
        <f t="shared" ca="1" si="4"/>
        <v/>
      </c>
      <c r="AC64" s="10" t="str">
        <f t="shared" ca="1" si="5"/>
        <v/>
      </c>
      <c r="AD64" s="10" t="str">
        <f t="shared" ca="1" si="6"/>
        <v/>
      </c>
      <c r="AE64" s="10" t="str">
        <f t="shared" ca="1" si="7"/>
        <v/>
      </c>
      <c r="AF64" s="10" t="str">
        <f ca="1">IF(AND(Y64,AA64="ERREUR"),COUNTIF($AA$2:$AA64,"ERREUR"),"")</f>
        <v/>
      </c>
    </row>
    <row r="65" spans="23:32" ht="25" customHeight="1">
      <c r="W65" s="11">
        <f t="shared" ca="1" si="0"/>
        <v>46405</v>
      </c>
      <c r="X65" s="10" t="str">
        <f t="shared" ca="1" si="1"/>
        <v>18012027</v>
      </c>
      <c r="Y65" s="10" t="b">
        <f t="shared" ca="1" si="2"/>
        <v>0</v>
      </c>
      <c r="Z65" s="10" t="str">
        <f ca="1">IF(Y65,COUNTIF($Y$2:$Y65,TRUE),"")</f>
        <v/>
      </c>
      <c r="AA65" s="10" t="str">
        <f t="shared" ca="1" si="3"/>
        <v/>
      </c>
      <c r="AB65" s="10" t="str">
        <f t="shared" ca="1" si="4"/>
        <v/>
      </c>
      <c r="AC65" s="10" t="str">
        <f t="shared" ca="1" si="5"/>
        <v/>
      </c>
      <c r="AD65" s="10" t="str">
        <f t="shared" ca="1" si="6"/>
        <v/>
      </c>
      <c r="AE65" s="10" t="str">
        <f t="shared" ca="1" si="7"/>
        <v/>
      </c>
      <c r="AF65" s="10" t="str">
        <f ca="1">IF(AND(Y65,AA65="ERREUR"),COUNTIF($AA$2:$AA65,"ERREUR"),"")</f>
        <v/>
      </c>
    </row>
    <row r="66" spans="23:32" ht="25" customHeight="1">
      <c r="W66" s="11">
        <f t="shared" ref="W66:W129" ca="1" si="24">TODAY()+365-ROW()+2</f>
        <v>46404</v>
      </c>
      <c r="X66" s="10" t="str">
        <f t="shared" ref="X66:X129" ca="1" si="25">RIGHT("0"&amp;DAY(W66),2)&amp;RIGHT("0"&amp;MONTH(W66),2)&amp;YEAR(W66)</f>
        <v>17012027</v>
      </c>
      <c r="Y66" s="10" t="b">
        <f t="shared" ref="Y66:Y129" ca="1" si="26">IFERROR(INDIRECT(CHAR(39)&amp;X66&amp;CHAR(39)&amp;"!C3")="DATE DE CAISSE",FALSE)</f>
        <v>0</v>
      </c>
      <c r="Z66" s="10" t="str">
        <f ca="1">IF(Y66,COUNTIF($Y$2:$Y66,TRUE),"")</f>
        <v/>
      </c>
      <c r="AA66" s="10" t="str">
        <f t="shared" ref="AA66:AA129" ca="1" si="27">IF($Y66,IFERROR(IF(INDIRECT(CHAR(39)&amp;$X66&amp;CHAR(39)&amp;"!P3")="VIDE","NON SAISIE",INDIRECT(CHAR(39)&amp;$X66&amp;CHAR(39)&amp;"!P3")),""),"")</f>
        <v/>
      </c>
      <c r="AB66" s="10" t="str">
        <f t="shared" ref="AB66:AB129" ca="1" si="28">IF($Y66,IFERROR(INDIRECT(CHAR(39)&amp;$X66&amp;CHAR(39)&amp;"!M59"),""),"")</f>
        <v/>
      </c>
      <c r="AC66" s="10" t="str">
        <f t="shared" ref="AC66:AC129" ca="1" si="29">IF(Y66,IFERROR(INDIRECT(CHAR(39)&amp;X66&amp;CHAR(39)&amp;"!M3"),""),"")</f>
        <v/>
      </c>
      <c r="AD66" s="10" t="str">
        <f t="shared" ref="AD66:AD129" ca="1" si="30">IF(Y66,IFERROR(INDIRECT(CHAR(39)&amp;X66&amp;CHAR(39)&amp;"!M60"),""),"")</f>
        <v/>
      </c>
      <c r="AE66" s="10" t="str">
        <f t="shared" ref="AE66:AE129" ca="1" si="31">IF($Y66,IF($AA66="OK","RAS",IF($AA66="NON SAISIE","Non saisie",IF($AC66&lt;&gt;0,"Ecart de saisie",IF($AD66&lt;&gt;0,"Ecart de caisse",IF(IFERROR(COUNTIF(INDIRECT(CHAR(39)&amp;$X66&amp;CHAR(39)&amp;"!M11:M40"),"ERREUR"),0)&gt;0,"Lignes facture",IF(IFERROR(COUNTIF(INDIRECT(CHAR(39)&amp;$X66&amp;CHAR(39)&amp;"!N47:N50"),"&lt;&gt;OK"),0)&gt;0,"Controle banque","A verifier")))))),"")</f>
        <v/>
      </c>
      <c r="AF66" s="10" t="str">
        <f ca="1">IF(AND(Y66,AA66="ERREUR"),COUNTIF($AA$2:$AA66,"ERREUR"),"")</f>
        <v/>
      </c>
    </row>
    <row r="67" spans="23:32" ht="25" customHeight="1">
      <c r="W67" s="11">
        <f t="shared" ca="1" si="24"/>
        <v>46403</v>
      </c>
      <c r="X67" s="10" t="str">
        <f t="shared" ca="1" si="25"/>
        <v>16012027</v>
      </c>
      <c r="Y67" s="10" t="b">
        <f t="shared" ca="1" si="26"/>
        <v>0</v>
      </c>
      <c r="Z67" s="10" t="str">
        <f ca="1">IF(Y67,COUNTIF($Y$2:$Y67,TRUE),"")</f>
        <v/>
      </c>
      <c r="AA67" s="10" t="str">
        <f t="shared" ca="1" si="27"/>
        <v/>
      </c>
      <c r="AB67" s="10" t="str">
        <f t="shared" ca="1" si="28"/>
        <v/>
      </c>
      <c r="AC67" s="10" t="str">
        <f t="shared" ca="1" si="29"/>
        <v/>
      </c>
      <c r="AD67" s="10" t="str">
        <f t="shared" ca="1" si="30"/>
        <v/>
      </c>
      <c r="AE67" s="10" t="str">
        <f t="shared" ca="1" si="31"/>
        <v/>
      </c>
      <c r="AF67" s="10" t="str">
        <f ca="1">IF(AND(Y67,AA67="ERREUR"),COUNTIF($AA$2:$AA67,"ERREUR"),"")</f>
        <v/>
      </c>
    </row>
    <row r="68" spans="23:32" ht="25" customHeight="1">
      <c r="W68" s="11">
        <f t="shared" ca="1" si="24"/>
        <v>46402</v>
      </c>
      <c r="X68" s="10" t="str">
        <f t="shared" ca="1" si="25"/>
        <v>15012027</v>
      </c>
      <c r="Y68" s="10" t="b">
        <f t="shared" ca="1" si="26"/>
        <v>0</v>
      </c>
      <c r="Z68" s="10" t="str">
        <f ca="1">IF(Y68,COUNTIF($Y$2:$Y68,TRUE),"")</f>
        <v/>
      </c>
      <c r="AA68" s="10" t="str">
        <f t="shared" ca="1" si="27"/>
        <v/>
      </c>
      <c r="AB68" s="10" t="str">
        <f t="shared" ca="1" si="28"/>
        <v/>
      </c>
      <c r="AC68" s="10" t="str">
        <f t="shared" ca="1" si="29"/>
        <v/>
      </c>
      <c r="AD68" s="10" t="str">
        <f t="shared" ca="1" si="30"/>
        <v/>
      </c>
      <c r="AE68" s="10" t="str">
        <f t="shared" ca="1" si="31"/>
        <v/>
      </c>
      <c r="AF68" s="10" t="str">
        <f ca="1">IF(AND(Y68,AA68="ERREUR"),COUNTIF($AA$2:$AA68,"ERREUR"),"")</f>
        <v/>
      </c>
    </row>
    <row r="69" spans="23:32" ht="25" customHeight="1">
      <c r="W69" s="11">
        <f t="shared" ca="1" si="24"/>
        <v>46401</v>
      </c>
      <c r="X69" s="10" t="str">
        <f t="shared" ca="1" si="25"/>
        <v>14012027</v>
      </c>
      <c r="Y69" s="10" t="b">
        <f t="shared" ca="1" si="26"/>
        <v>0</v>
      </c>
      <c r="Z69" s="10" t="str">
        <f ca="1">IF(Y69,COUNTIF($Y$2:$Y69,TRUE),"")</f>
        <v/>
      </c>
      <c r="AA69" s="10" t="str">
        <f t="shared" ca="1" si="27"/>
        <v/>
      </c>
      <c r="AB69" s="10" t="str">
        <f t="shared" ca="1" si="28"/>
        <v/>
      </c>
      <c r="AC69" s="10" t="str">
        <f t="shared" ca="1" si="29"/>
        <v/>
      </c>
      <c r="AD69" s="10" t="str">
        <f t="shared" ca="1" si="30"/>
        <v/>
      </c>
      <c r="AE69" s="10" t="str">
        <f t="shared" ca="1" si="31"/>
        <v/>
      </c>
      <c r="AF69" s="10" t="str">
        <f ca="1">IF(AND(Y69,AA69="ERREUR"),COUNTIF($AA$2:$AA69,"ERREUR"),"")</f>
        <v/>
      </c>
    </row>
    <row r="70" spans="23:32" ht="25" customHeight="1">
      <c r="W70" s="11">
        <f t="shared" ca="1" si="24"/>
        <v>46400</v>
      </c>
      <c r="X70" s="10" t="str">
        <f t="shared" ca="1" si="25"/>
        <v>13012027</v>
      </c>
      <c r="Y70" s="10" t="b">
        <f t="shared" ca="1" si="26"/>
        <v>0</v>
      </c>
      <c r="Z70" s="10" t="str">
        <f ca="1">IF(Y70,COUNTIF($Y$2:$Y70,TRUE),"")</f>
        <v/>
      </c>
      <c r="AA70" s="10" t="str">
        <f t="shared" ca="1" si="27"/>
        <v/>
      </c>
      <c r="AB70" s="10" t="str">
        <f t="shared" ca="1" si="28"/>
        <v/>
      </c>
      <c r="AC70" s="10" t="str">
        <f t="shared" ca="1" si="29"/>
        <v/>
      </c>
      <c r="AD70" s="10" t="str">
        <f t="shared" ca="1" si="30"/>
        <v/>
      </c>
      <c r="AE70" s="10" t="str">
        <f t="shared" ca="1" si="31"/>
        <v/>
      </c>
      <c r="AF70" s="10" t="str">
        <f ca="1">IF(AND(Y70,AA70="ERREUR"),COUNTIF($AA$2:$AA70,"ERREUR"),"")</f>
        <v/>
      </c>
    </row>
    <row r="71" spans="23:32" ht="25" customHeight="1">
      <c r="W71" s="11">
        <f t="shared" ca="1" si="24"/>
        <v>46399</v>
      </c>
      <c r="X71" s="10" t="str">
        <f t="shared" ca="1" si="25"/>
        <v>12012027</v>
      </c>
      <c r="Y71" s="10" t="b">
        <f t="shared" ca="1" si="26"/>
        <v>0</v>
      </c>
      <c r="Z71" s="10" t="str">
        <f ca="1">IF(Y71,COUNTIF($Y$2:$Y71,TRUE),"")</f>
        <v/>
      </c>
      <c r="AA71" s="10" t="str">
        <f t="shared" ca="1" si="27"/>
        <v/>
      </c>
      <c r="AB71" s="10" t="str">
        <f t="shared" ca="1" si="28"/>
        <v/>
      </c>
      <c r="AC71" s="10" t="str">
        <f t="shared" ca="1" si="29"/>
        <v/>
      </c>
      <c r="AD71" s="10" t="str">
        <f t="shared" ca="1" si="30"/>
        <v/>
      </c>
      <c r="AE71" s="10" t="str">
        <f t="shared" ca="1" si="31"/>
        <v/>
      </c>
      <c r="AF71" s="10" t="str">
        <f ca="1">IF(AND(Y71,AA71="ERREUR"),COUNTIF($AA$2:$AA71,"ERREUR"),"")</f>
        <v/>
      </c>
    </row>
    <row r="72" spans="23:32" ht="25" customHeight="1">
      <c r="W72" s="11">
        <f t="shared" ca="1" si="24"/>
        <v>46398</v>
      </c>
      <c r="X72" s="10" t="str">
        <f t="shared" ca="1" si="25"/>
        <v>11012027</v>
      </c>
      <c r="Y72" s="10" t="b">
        <f t="shared" ca="1" si="26"/>
        <v>0</v>
      </c>
      <c r="Z72" s="10" t="str">
        <f ca="1">IF(Y72,COUNTIF($Y$2:$Y72,TRUE),"")</f>
        <v/>
      </c>
      <c r="AA72" s="10" t="str">
        <f t="shared" ca="1" si="27"/>
        <v/>
      </c>
      <c r="AB72" s="10" t="str">
        <f t="shared" ca="1" si="28"/>
        <v/>
      </c>
      <c r="AC72" s="10" t="str">
        <f t="shared" ca="1" si="29"/>
        <v/>
      </c>
      <c r="AD72" s="10" t="str">
        <f t="shared" ca="1" si="30"/>
        <v/>
      </c>
      <c r="AE72" s="10" t="str">
        <f t="shared" ca="1" si="31"/>
        <v/>
      </c>
      <c r="AF72" s="10" t="str">
        <f ca="1">IF(AND(Y72,AA72="ERREUR"),COUNTIF($AA$2:$AA72,"ERREUR"),"")</f>
        <v/>
      </c>
    </row>
    <row r="73" spans="23:32" ht="25" customHeight="1">
      <c r="W73" s="11">
        <f t="shared" ca="1" si="24"/>
        <v>46397</v>
      </c>
      <c r="X73" s="10" t="str">
        <f t="shared" ca="1" si="25"/>
        <v>10012027</v>
      </c>
      <c r="Y73" s="10" t="b">
        <f t="shared" ca="1" si="26"/>
        <v>0</v>
      </c>
      <c r="Z73" s="10" t="str">
        <f ca="1">IF(Y73,COUNTIF($Y$2:$Y73,TRUE),"")</f>
        <v/>
      </c>
      <c r="AA73" s="10" t="str">
        <f t="shared" ca="1" si="27"/>
        <v/>
      </c>
      <c r="AB73" s="10" t="str">
        <f t="shared" ca="1" si="28"/>
        <v/>
      </c>
      <c r="AC73" s="10" t="str">
        <f t="shared" ca="1" si="29"/>
        <v/>
      </c>
      <c r="AD73" s="10" t="str">
        <f t="shared" ca="1" si="30"/>
        <v/>
      </c>
      <c r="AE73" s="10" t="str">
        <f t="shared" ca="1" si="31"/>
        <v/>
      </c>
      <c r="AF73" s="10" t="str">
        <f ca="1">IF(AND(Y73,AA73="ERREUR"),COUNTIF($AA$2:$AA73,"ERREUR"),"")</f>
        <v/>
      </c>
    </row>
    <row r="74" spans="23:32" ht="25" customHeight="1">
      <c r="W74" s="11">
        <f t="shared" ca="1" si="24"/>
        <v>46396</v>
      </c>
      <c r="X74" s="10" t="str">
        <f t="shared" ca="1" si="25"/>
        <v>09012027</v>
      </c>
      <c r="Y74" s="10" t="b">
        <f t="shared" ca="1" si="26"/>
        <v>0</v>
      </c>
      <c r="Z74" s="10" t="str">
        <f ca="1">IF(Y74,COUNTIF($Y$2:$Y74,TRUE),"")</f>
        <v/>
      </c>
      <c r="AA74" s="10" t="str">
        <f t="shared" ca="1" si="27"/>
        <v/>
      </c>
      <c r="AB74" s="10" t="str">
        <f t="shared" ca="1" si="28"/>
        <v/>
      </c>
      <c r="AC74" s="10" t="str">
        <f t="shared" ca="1" si="29"/>
        <v/>
      </c>
      <c r="AD74" s="10" t="str">
        <f t="shared" ca="1" si="30"/>
        <v/>
      </c>
      <c r="AE74" s="10" t="str">
        <f t="shared" ca="1" si="31"/>
        <v/>
      </c>
      <c r="AF74" s="10" t="str">
        <f ca="1">IF(AND(Y74,AA74="ERREUR"),COUNTIF($AA$2:$AA74,"ERREUR"),"")</f>
        <v/>
      </c>
    </row>
    <row r="75" spans="23:32" ht="25" customHeight="1">
      <c r="W75" s="11">
        <f t="shared" ca="1" si="24"/>
        <v>46395</v>
      </c>
      <c r="X75" s="10" t="str">
        <f t="shared" ca="1" si="25"/>
        <v>08012027</v>
      </c>
      <c r="Y75" s="10" t="b">
        <f t="shared" ca="1" si="26"/>
        <v>0</v>
      </c>
      <c r="Z75" s="10" t="str">
        <f ca="1">IF(Y75,COUNTIF($Y$2:$Y75,TRUE),"")</f>
        <v/>
      </c>
      <c r="AA75" s="10" t="str">
        <f t="shared" ca="1" si="27"/>
        <v/>
      </c>
      <c r="AB75" s="10" t="str">
        <f t="shared" ca="1" si="28"/>
        <v/>
      </c>
      <c r="AC75" s="10" t="str">
        <f t="shared" ca="1" si="29"/>
        <v/>
      </c>
      <c r="AD75" s="10" t="str">
        <f t="shared" ca="1" si="30"/>
        <v/>
      </c>
      <c r="AE75" s="10" t="str">
        <f t="shared" ca="1" si="31"/>
        <v/>
      </c>
      <c r="AF75" s="10" t="str">
        <f ca="1">IF(AND(Y75,AA75="ERREUR"),COUNTIF($AA$2:$AA75,"ERREUR"),"")</f>
        <v/>
      </c>
    </row>
    <row r="76" spans="23:32" ht="25" customHeight="1">
      <c r="W76" s="11">
        <f t="shared" ca="1" si="24"/>
        <v>46394</v>
      </c>
      <c r="X76" s="10" t="str">
        <f t="shared" ca="1" si="25"/>
        <v>07012027</v>
      </c>
      <c r="Y76" s="10" t="b">
        <f t="shared" ca="1" si="26"/>
        <v>0</v>
      </c>
      <c r="Z76" s="10" t="str">
        <f ca="1">IF(Y76,COUNTIF($Y$2:$Y76,TRUE),"")</f>
        <v/>
      </c>
      <c r="AA76" s="10" t="str">
        <f t="shared" ca="1" si="27"/>
        <v/>
      </c>
      <c r="AB76" s="10" t="str">
        <f t="shared" ca="1" si="28"/>
        <v/>
      </c>
      <c r="AC76" s="10" t="str">
        <f t="shared" ca="1" si="29"/>
        <v/>
      </c>
      <c r="AD76" s="10" t="str">
        <f t="shared" ca="1" si="30"/>
        <v/>
      </c>
      <c r="AE76" s="10" t="str">
        <f t="shared" ca="1" si="31"/>
        <v/>
      </c>
      <c r="AF76" s="10" t="str">
        <f ca="1">IF(AND(Y76,AA76="ERREUR"),COUNTIF($AA$2:$AA76,"ERREUR"),"")</f>
        <v/>
      </c>
    </row>
    <row r="77" spans="23:32" ht="25" customHeight="1">
      <c r="W77" s="11">
        <f t="shared" ca="1" si="24"/>
        <v>46393</v>
      </c>
      <c r="X77" s="10" t="str">
        <f t="shared" ca="1" si="25"/>
        <v>06012027</v>
      </c>
      <c r="Y77" s="10" t="b">
        <f t="shared" ca="1" si="26"/>
        <v>0</v>
      </c>
      <c r="Z77" s="10" t="str">
        <f ca="1">IF(Y77,COUNTIF($Y$2:$Y77,TRUE),"")</f>
        <v/>
      </c>
      <c r="AA77" s="10" t="str">
        <f t="shared" ca="1" si="27"/>
        <v/>
      </c>
      <c r="AB77" s="10" t="str">
        <f t="shared" ca="1" si="28"/>
        <v/>
      </c>
      <c r="AC77" s="10" t="str">
        <f t="shared" ca="1" si="29"/>
        <v/>
      </c>
      <c r="AD77" s="10" t="str">
        <f t="shared" ca="1" si="30"/>
        <v/>
      </c>
      <c r="AE77" s="10" t="str">
        <f t="shared" ca="1" si="31"/>
        <v/>
      </c>
      <c r="AF77" s="10" t="str">
        <f ca="1">IF(AND(Y77,AA77="ERREUR"),COUNTIF($AA$2:$AA77,"ERREUR"),"")</f>
        <v/>
      </c>
    </row>
    <row r="78" spans="23:32" ht="25" customHeight="1">
      <c r="W78" s="11">
        <f t="shared" ca="1" si="24"/>
        <v>46392</v>
      </c>
      <c r="X78" s="10" t="str">
        <f t="shared" ca="1" si="25"/>
        <v>05012027</v>
      </c>
      <c r="Y78" s="10" t="b">
        <f t="shared" ca="1" si="26"/>
        <v>0</v>
      </c>
      <c r="Z78" s="10" t="str">
        <f ca="1">IF(Y78,COUNTIF($Y$2:$Y78,TRUE),"")</f>
        <v/>
      </c>
      <c r="AA78" s="10" t="str">
        <f t="shared" ca="1" si="27"/>
        <v/>
      </c>
      <c r="AB78" s="10" t="str">
        <f t="shared" ca="1" si="28"/>
        <v/>
      </c>
      <c r="AC78" s="10" t="str">
        <f t="shared" ca="1" si="29"/>
        <v/>
      </c>
      <c r="AD78" s="10" t="str">
        <f t="shared" ca="1" si="30"/>
        <v/>
      </c>
      <c r="AE78" s="10" t="str">
        <f t="shared" ca="1" si="31"/>
        <v/>
      </c>
      <c r="AF78" s="10" t="str">
        <f ca="1">IF(AND(Y78,AA78="ERREUR"),COUNTIF($AA$2:$AA78,"ERREUR"),"")</f>
        <v/>
      </c>
    </row>
    <row r="79" spans="23:32" ht="25" customHeight="1">
      <c r="W79" s="11">
        <f t="shared" ca="1" si="24"/>
        <v>46391</v>
      </c>
      <c r="X79" s="10" t="str">
        <f t="shared" ca="1" si="25"/>
        <v>04012027</v>
      </c>
      <c r="Y79" s="10" t="b">
        <f t="shared" ca="1" si="26"/>
        <v>0</v>
      </c>
      <c r="Z79" s="10" t="str">
        <f ca="1">IF(Y79,COUNTIF($Y$2:$Y79,TRUE),"")</f>
        <v/>
      </c>
      <c r="AA79" s="10" t="str">
        <f t="shared" ca="1" si="27"/>
        <v/>
      </c>
      <c r="AB79" s="10" t="str">
        <f t="shared" ca="1" si="28"/>
        <v/>
      </c>
      <c r="AC79" s="10" t="str">
        <f t="shared" ca="1" si="29"/>
        <v/>
      </c>
      <c r="AD79" s="10" t="str">
        <f t="shared" ca="1" si="30"/>
        <v/>
      </c>
      <c r="AE79" s="10" t="str">
        <f t="shared" ca="1" si="31"/>
        <v/>
      </c>
      <c r="AF79" s="10" t="str">
        <f ca="1">IF(AND(Y79,AA79="ERREUR"),COUNTIF($AA$2:$AA79,"ERREUR"),"")</f>
        <v/>
      </c>
    </row>
    <row r="80" spans="23:32" ht="25" customHeight="1">
      <c r="W80" s="11">
        <f t="shared" ca="1" si="24"/>
        <v>46390</v>
      </c>
      <c r="X80" s="10" t="str">
        <f t="shared" ca="1" si="25"/>
        <v>03012027</v>
      </c>
      <c r="Y80" s="10" t="b">
        <f t="shared" ca="1" si="26"/>
        <v>0</v>
      </c>
      <c r="Z80" s="10" t="str">
        <f ca="1">IF(Y80,COUNTIF($Y$2:$Y80,TRUE),"")</f>
        <v/>
      </c>
      <c r="AA80" s="10" t="str">
        <f t="shared" ca="1" si="27"/>
        <v/>
      </c>
      <c r="AB80" s="10" t="str">
        <f t="shared" ca="1" si="28"/>
        <v/>
      </c>
      <c r="AC80" s="10" t="str">
        <f t="shared" ca="1" si="29"/>
        <v/>
      </c>
      <c r="AD80" s="10" t="str">
        <f t="shared" ca="1" si="30"/>
        <v/>
      </c>
      <c r="AE80" s="10" t="str">
        <f t="shared" ca="1" si="31"/>
        <v/>
      </c>
      <c r="AF80" s="10" t="str">
        <f ca="1">IF(AND(Y80,AA80="ERREUR"),COUNTIF($AA$2:$AA80,"ERREUR"),"")</f>
        <v/>
      </c>
    </row>
    <row r="81" spans="23:32" ht="25" customHeight="1">
      <c r="W81" s="11">
        <f t="shared" ca="1" si="24"/>
        <v>46389</v>
      </c>
      <c r="X81" s="10" t="str">
        <f t="shared" ca="1" si="25"/>
        <v>02012027</v>
      </c>
      <c r="Y81" s="10" t="b">
        <f t="shared" ca="1" si="26"/>
        <v>0</v>
      </c>
      <c r="Z81" s="10" t="str">
        <f ca="1">IF(Y81,COUNTIF($Y$2:$Y81,TRUE),"")</f>
        <v/>
      </c>
      <c r="AA81" s="10" t="str">
        <f t="shared" ca="1" si="27"/>
        <v/>
      </c>
      <c r="AB81" s="10" t="str">
        <f t="shared" ca="1" si="28"/>
        <v/>
      </c>
      <c r="AC81" s="10" t="str">
        <f t="shared" ca="1" si="29"/>
        <v/>
      </c>
      <c r="AD81" s="10" t="str">
        <f t="shared" ca="1" si="30"/>
        <v/>
      </c>
      <c r="AE81" s="10" t="str">
        <f t="shared" ca="1" si="31"/>
        <v/>
      </c>
      <c r="AF81" s="10" t="str">
        <f ca="1">IF(AND(Y81,AA81="ERREUR"),COUNTIF($AA$2:$AA81,"ERREUR"),"")</f>
        <v/>
      </c>
    </row>
    <row r="82" spans="23:32" ht="25" customHeight="1">
      <c r="W82" s="11">
        <f t="shared" ca="1" si="24"/>
        <v>46388</v>
      </c>
      <c r="X82" s="10" t="str">
        <f t="shared" ca="1" si="25"/>
        <v>01012027</v>
      </c>
      <c r="Y82" s="10" t="b">
        <f t="shared" ca="1" si="26"/>
        <v>0</v>
      </c>
      <c r="Z82" s="10" t="str">
        <f ca="1">IF(Y82,COUNTIF($Y$2:$Y82,TRUE),"")</f>
        <v/>
      </c>
      <c r="AA82" s="10" t="str">
        <f t="shared" ca="1" si="27"/>
        <v/>
      </c>
      <c r="AB82" s="10" t="str">
        <f t="shared" ca="1" si="28"/>
        <v/>
      </c>
      <c r="AC82" s="10" t="str">
        <f t="shared" ca="1" si="29"/>
        <v/>
      </c>
      <c r="AD82" s="10" t="str">
        <f t="shared" ca="1" si="30"/>
        <v/>
      </c>
      <c r="AE82" s="10" t="str">
        <f t="shared" ca="1" si="31"/>
        <v/>
      </c>
      <c r="AF82" s="10" t="str">
        <f ca="1">IF(AND(Y82,AA82="ERREUR"),COUNTIF($AA$2:$AA82,"ERREUR"),"")</f>
        <v/>
      </c>
    </row>
    <row r="83" spans="23:32" ht="25" customHeight="1">
      <c r="W83" s="11">
        <f t="shared" ca="1" si="24"/>
        <v>46387</v>
      </c>
      <c r="X83" s="10" t="str">
        <f t="shared" ca="1" si="25"/>
        <v>31122026</v>
      </c>
      <c r="Y83" s="10" t="b">
        <f t="shared" ca="1" si="26"/>
        <v>0</v>
      </c>
      <c r="Z83" s="10" t="str">
        <f ca="1">IF(Y83,COUNTIF($Y$2:$Y83,TRUE),"")</f>
        <v/>
      </c>
      <c r="AA83" s="10" t="str">
        <f t="shared" ca="1" si="27"/>
        <v/>
      </c>
      <c r="AB83" s="10" t="str">
        <f t="shared" ca="1" si="28"/>
        <v/>
      </c>
      <c r="AC83" s="10" t="str">
        <f t="shared" ca="1" si="29"/>
        <v/>
      </c>
      <c r="AD83" s="10" t="str">
        <f t="shared" ca="1" si="30"/>
        <v/>
      </c>
      <c r="AE83" s="10" t="str">
        <f t="shared" ca="1" si="31"/>
        <v/>
      </c>
      <c r="AF83" s="10" t="str">
        <f ca="1">IF(AND(Y83,AA83="ERREUR"),COUNTIF($AA$2:$AA83,"ERREUR"),"")</f>
        <v/>
      </c>
    </row>
    <row r="84" spans="23:32" ht="25" customHeight="1">
      <c r="W84" s="11">
        <f t="shared" ca="1" si="24"/>
        <v>46386</v>
      </c>
      <c r="X84" s="10" t="str">
        <f t="shared" ca="1" si="25"/>
        <v>30122026</v>
      </c>
      <c r="Y84" s="10" t="b">
        <f t="shared" ca="1" si="26"/>
        <v>0</v>
      </c>
      <c r="Z84" s="10" t="str">
        <f ca="1">IF(Y84,COUNTIF($Y$2:$Y84,TRUE),"")</f>
        <v/>
      </c>
      <c r="AA84" s="10" t="str">
        <f t="shared" ca="1" si="27"/>
        <v/>
      </c>
      <c r="AB84" s="10" t="str">
        <f t="shared" ca="1" si="28"/>
        <v/>
      </c>
      <c r="AC84" s="10" t="str">
        <f t="shared" ca="1" si="29"/>
        <v/>
      </c>
      <c r="AD84" s="10" t="str">
        <f t="shared" ca="1" si="30"/>
        <v/>
      </c>
      <c r="AE84" s="10" t="str">
        <f t="shared" ca="1" si="31"/>
        <v/>
      </c>
      <c r="AF84" s="10" t="str">
        <f ca="1">IF(AND(Y84,AA84="ERREUR"),COUNTIF($AA$2:$AA84,"ERREUR"),"")</f>
        <v/>
      </c>
    </row>
    <row r="85" spans="23:32" ht="25" customHeight="1">
      <c r="W85" s="11">
        <f t="shared" ca="1" si="24"/>
        <v>46385</v>
      </c>
      <c r="X85" s="10" t="str">
        <f t="shared" ca="1" si="25"/>
        <v>29122026</v>
      </c>
      <c r="Y85" s="10" t="b">
        <f t="shared" ca="1" si="26"/>
        <v>0</v>
      </c>
      <c r="Z85" s="10" t="str">
        <f ca="1">IF(Y85,COUNTIF($Y$2:$Y85,TRUE),"")</f>
        <v/>
      </c>
      <c r="AA85" s="10" t="str">
        <f t="shared" ca="1" si="27"/>
        <v/>
      </c>
      <c r="AB85" s="10" t="str">
        <f t="shared" ca="1" si="28"/>
        <v/>
      </c>
      <c r="AC85" s="10" t="str">
        <f t="shared" ca="1" si="29"/>
        <v/>
      </c>
      <c r="AD85" s="10" t="str">
        <f t="shared" ca="1" si="30"/>
        <v/>
      </c>
      <c r="AE85" s="10" t="str">
        <f t="shared" ca="1" si="31"/>
        <v/>
      </c>
      <c r="AF85" s="10" t="str">
        <f ca="1">IF(AND(Y85,AA85="ERREUR"),COUNTIF($AA$2:$AA85,"ERREUR"),"")</f>
        <v/>
      </c>
    </row>
    <row r="86" spans="23:32" ht="25" customHeight="1">
      <c r="W86" s="11">
        <f t="shared" ca="1" si="24"/>
        <v>46384</v>
      </c>
      <c r="X86" s="10" t="str">
        <f t="shared" ca="1" si="25"/>
        <v>28122026</v>
      </c>
      <c r="Y86" s="10" t="b">
        <f t="shared" ca="1" si="26"/>
        <v>0</v>
      </c>
      <c r="Z86" s="10" t="str">
        <f ca="1">IF(Y86,COUNTIF($Y$2:$Y86,TRUE),"")</f>
        <v/>
      </c>
      <c r="AA86" s="10" t="str">
        <f t="shared" ca="1" si="27"/>
        <v/>
      </c>
      <c r="AB86" s="10" t="str">
        <f t="shared" ca="1" si="28"/>
        <v/>
      </c>
      <c r="AC86" s="10" t="str">
        <f t="shared" ca="1" si="29"/>
        <v/>
      </c>
      <c r="AD86" s="10" t="str">
        <f t="shared" ca="1" si="30"/>
        <v/>
      </c>
      <c r="AE86" s="10" t="str">
        <f t="shared" ca="1" si="31"/>
        <v/>
      </c>
      <c r="AF86" s="10" t="str">
        <f ca="1">IF(AND(Y86,AA86="ERREUR"),COUNTIF($AA$2:$AA86,"ERREUR"),"")</f>
        <v/>
      </c>
    </row>
    <row r="87" spans="23:32" ht="25" customHeight="1">
      <c r="W87" s="11">
        <f t="shared" ca="1" si="24"/>
        <v>46383</v>
      </c>
      <c r="X87" s="10" t="str">
        <f t="shared" ca="1" si="25"/>
        <v>27122026</v>
      </c>
      <c r="Y87" s="10" t="b">
        <f t="shared" ca="1" si="26"/>
        <v>0</v>
      </c>
      <c r="Z87" s="10" t="str">
        <f ca="1">IF(Y87,COUNTIF($Y$2:$Y87,TRUE),"")</f>
        <v/>
      </c>
      <c r="AA87" s="10" t="str">
        <f t="shared" ca="1" si="27"/>
        <v/>
      </c>
      <c r="AB87" s="10" t="str">
        <f t="shared" ca="1" si="28"/>
        <v/>
      </c>
      <c r="AC87" s="10" t="str">
        <f t="shared" ca="1" si="29"/>
        <v/>
      </c>
      <c r="AD87" s="10" t="str">
        <f t="shared" ca="1" si="30"/>
        <v/>
      </c>
      <c r="AE87" s="10" t="str">
        <f t="shared" ca="1" si="31"/>
        <v/>
      </c>
      <c r="AF87" s="10" t="str">
        <f ca="1">IF(AND(Y87,AA87="ERREUR"),COUNTIF($AA$2:$AA87,"ERREUR"),"")</f>
        <v/>
      </c>
    </row>
    <row r="88" spans="23:32" ht="25" customHeight="1">
      <c r="W88" s="11">
        <f t="shared" ca="1" si="24"/>
        <v>46382</v>
      </c>
      <c r="X88" s="10" t="str">
        <f t="shared" ca="1" si="25"/>
        <v>26122026</v>
      </c>
      <c r="Y88" s="10" t="b">
        <f t="shared" ca="1" si="26"/>
        <v>0</v>
      </c>
      <c r="Z88" s="10" t="str">
        <f ca="1">IF(Y88,COUNTIF($Y$2:$Y88,TRUE),"")</f>
        <v/>
      </c>
      <c r="AA88" s="10" t="str">
        <f t="shared" ca="1" si="27"/>
        <v/>
      </c>
      <c r="AB88" s="10" t="str">
        <f t="shared" ca="1" si="28"/>
        <v/>
      </c>
      <c r="AC88" s="10" t="str">
        <f t="shared" ca="1" si="29"/>
        <v/>
      </c>
      <c r="AD88" s="10" t="str">
        <f t="shared" ca="1" si="30"/>
        <v/>
      </c>
      <c r="AE88" s="10" t="str">
        <f t="shared" ca="1" si="31"/>
        <v/>
      </c>
      <c r="AF88" s="10" t="str">
        <f ca="1">IF(AND(Y88,AA88="ERREUR"),COUNTIF($AA$2:$AA88,"ERREUR"),"")</f>
        <v/>
      </c>
    </row>
    <row r="89" spans="23:32" ht="25" customHeight="1">
      <c r="W89" s="11">
        <f t="shared" ca="1" si="24"/>
        <v>46381</v>
      </c>
      <c r="X89" s="10" t="str">
        <f t="shared" ca="1" si="25"/>
        <v>25122026</v>
      </c>
      <c r="Y89" s="10" t="b">
        <f t="shared" ca="1" si="26"/>
        <v>0</v>
      </c>
      <c r="Z89" s="10" t="str">
        <f ca="1">IF(Y89,COUNTIF($Y$2:$Y89,TRUE),"")</f>
        <v/>
      </c>
      <c r="AA89" s="10" t="str">
        <f t="shared" ca="1" si="27"/>
        <v/>
      </c>
      <c r="AB89" s="10" t="str">
        <f t="shared" ca="1" si="28"/>
        <v/>
      </c>
      <c r="AC89" s="10" t="str">
        <f t="shared" ca="1" si="29"/>
        <v/>
      </c>
      <c r="AD89" s="10" t="str">
        <f t="shared" ca="1" si="30"/>
        <v/>
      </c>
      <c r="AE89" s="10" t="str">
        <f t="shared" ca="1" si="31"/>
        <v/>
      </c>
      <c r="AF89" s="10" t="str">
        <f ca="1">IF(AND(Y89,AA89="ERREUR"),COUNTIF($AA$2:$AA89,"ERREUR"),"")</f>
        <v/>
      </c>
    </row>
    <row r="90" spans="23:32" ht="25" customHeight="1">
      <c r="W90" s="11">
        <f t="shared" ca="1" si="24"/>
        <v>46380</v>
      </c>
      <c r="X90" s="10" t="str">
        <f t="shared" ca="1" si="25"/>
        <v>24122026</v>
      </c>
      <c r="Y90" s="10" t="b">
        <f t="shared" ca="1" si="26"/>
        <v>0</v>
      </c>
      <c r="Z90" s="10" t="str">
        <f ca="1">IF(Y90,COUNTIF($Y$2:$Y90,TRUE),"")</f>
        <v/>
      </c>
      <c r="AA90" s="10" t="str">
        <f t="shared" ca="1" si="27"/>
        <v/>
      </c>
      <c r="AB90" s="10" t="str">
        <f t="shared" ca="1" si="28"/>
        <v/>
      </c>
      <c r="AC90" s="10" t="str">
        <f t="shared" ca="1" si="29"/>
        <v/>
      </c>
      <c r="AD90" s="10" t="str">
        <f t="shared" ca="1" si="30"/>
        <v/>
      </c>
      <c r="AE90" s="10" t="str">
        <f t="shared" ca="1" si="31"/>
        <v/>
      </c>
      <c r="AF90" s="10" t="str">
        <f ca="1">IF(AND(Y90,AA90="ERREUR"),COUNTIF($AA$2:$AA90,"ERREUR"),"")</f>
        <v/>
      </c>
    </row>
    <row r="91" spans="23:32" ht="25" customHeight="1">
      <c r="W91" s="11">
        <f t="shared" ca="1" si="24"/>
        <v>46379</v>
      </c>
      <c r="X91" s="10" t="str">
        <f t="shared" ca="1" si="25"/>
        <v>23122026</v>
      </c>
      <c r="Y91" s="10" t="b">
        <f t="shared" ca="1" si="26"/>
        <v>0</v>
      </c>
      <c r="Z91" s="10" t="str">
        <f ca="1">IF(Y91,COUNTIF($Y$2:$Y91,TRUE),"")</f>
        <v/>
      </c>
      <c r="AA91" s="10" t="str">
        <f t="shared" ca="1" si="27"/>
        <v/>
      </c>
      <c r="AB91" s="10" t="str">
        <f t="shared" ca="1" si="28"/>
        <v/>
      </c>
      <c r="AC91" s="10" t="str">
        <f t="shared" ca="1" si="29"/>
        <v/>
      </c>
      <c r="AD91" s="10" t="str">
        <f t="shared" ca="1" si="30"/>
        <v/>
      </c>
      <c r="AE91" s="10" t="str">
        <f t="shared" ca="1" si="31"/>
        <v/>
      </c>
      <c r="AF91" s="10" t="str">
        <f ca="1">IF(AND(Y91,AA91="ERREUR"),COUNTIF($AA$2:$AA91,"ERREUR"),"")</f>
        <v/>
      </c>
    </row>
    <row r="92" spans="23:32" ht="25" customHeight="1">
      <c r="W92" s="11">
        <f t="shared" ca="1" si="24"/>
        <v>46378</v>
      </c>
      <c r="X92" s="10" t="str">
        <f t="shared" ca="1" si="25"/>
        <v>22122026</v>
      </c>
      <c r="Y92" s="10" t="b">
        <f t="shared" ca="1" si="26"/>
        <v>0</v>
      </c>
      <c r="Z92" s="10" t="str">
        <f ca="1">IF(Y92,COUNTIF($Y$2:$Y92,TRUE),"")</f>
        <v/>
      </c>
      <c r="AA92" s="10" t="str">
        <f t="shared" ca="1" si="27"/>
        <v/>
      </c>
      <c r="AB92" s="10" t="str">
        <f t="shared" ca="1" si="28"/>
        <v/>
      </c>
      <c r="AC92" s="10" t="str">
        <f t="shared" ca="1" si="29"/>
        <v/>
      </c>
      <c r="AD92" s="10" t="str">
        <f t="shared" ca="1" si="30"/>
        <v/>
      </c>
      <c r="AE92" s="10" t="str">
        <f t="shared" ca="1" si="31"/>
        <v/>
      </c>
      <c r="AF92" s="10" t="str">
        <f ca="1">IF(AND(Y92,AA92="ERREUR"),COUNTIF($AA$2:$AA92,"ERREUR"),"")</f>
        <v/>
      </c>
    </row>
    <row r="93" spans="23:32" ht="25" customHeight="1">
      <c r="W93" s="11">
        <f t="shared" ca="1" si="24"/>
        <v>46377</v>
      </c>
      <c r="X93" s="10" t="str">
        <f t="shared" ca="1" si="25"/>
        <v>21122026</v>
      </c>
      <c r="Y93" s="10" t="b">
        <f t="shared" ca="1" si="26"/>
        <v>0</v>
      </c>
      <c r="Z93" s="10" t="str">
        <f ca="1">IF(Y93,COUNTIF($Y$2:$Y93,TRUE),"")</f>
        <v/>
      </c>
      <c r="AA93" s="10" t="str">
        <f t="shared" ca="1" si="27"/>
        <v/>
      </c>
      <c r="AB93" s="10" t="str">
        <f t="shared" ca="1" si="28"/>
        <v/>
      </c>
      <c r="AC93" s="10" t="str">
        <f t="shared" ca="1" si="29"/>
        <v/>
      </c>
      <c r="AD93" s="10" t="str">
        <f t="shared" ca="1" si="30"/>
        <v/>
      </c>
      <c r="AE93" s="10" t="str">
        <f t="shared" ca="1" si="31"/>
        <v/>
      </c>
      <c r="AF93" s="10" t="str">
        <f ca="1">IF(AND(Y93,AA93="ERREUR"),COUNTIF($AA$2:$AA93,"ERREUR"),"")</f>
        <v/>
      </c>
    </row>
    <row r="94" spans="23:32" ht="25" customHeight="1">
      <c r="W94" s="11">
        <f t="shared" ca="1" si="24"/>
        <v>46376</v>
      </c>
      <c r="X94" s="10" t="str">
        <f t="shared" ca="1" si="25"/>
        <v>20122026</v>
      </c>
      <c r="Y94" s="10" t="b">
        <f t="shared" ca="1" si="26"/>
        <v>0</v>
      </c>
      <c r="Z94" s="10" t="str">
        <f ca="1">IF(Y94,COUNTIF($Y$2:$Y94,TRUE),"")</f>
        <v/>
      </c>
      <c r="AA94" s="10" t="str">
        <f t="shared" ca="1" si="27"/>
        <v/>
      </c>
      <c r="AB94" s="10" t="str">
        <f t="shared" ca="1" si="28"/>
        <v/>
      </c>
      <c r="AC94" s="10" t="str">
        <f t="shared" ca="1" si="29"/>
        <v/>
      </c>
      <c r="AD94" s="10" t="str">
        <f t="shared" ca="1" si="30"/>
        <v/>
      </c>
      <c r="AE94" s="10" t="str">
        <f t="shared" ca="1" si="31"/>
        <v/>
      </c>
      <c r="AF94" s="10" t="str">
        <f ca="1">IF(AND(Y94,AA94="ERREUR"),COUNTIF($AA$2:$AA94,"ERREUR"),"")</f>
        <v/>
      </c>
    </row>
    <row r="95" spans="23:32" ht="25" customHeight="1">
      <c r="W95" s="11">
        <f t="shared" ca="1" si="24"/>
        <v>46375</v>
      </c>
      <c r="X95" s="10" t="str">
        <f t="shared" ca="1" si="25"/>
        <v>19122026</v>
      </c>
      <c r="Y95" s="10" t="b">
        <f t="shared" ca="1" si="26"/>
        <v>0</v>
      </c>
      <c r="Z95" s="10" t="str">
        <f ca="1">IF(Y95,COUNTIF($Y$2:$Y95,TRUE),"")</f>
        <v/>
      </c>
      <c r="AA95" s="10" t="str">
        <f t="shared" ca="1" si="27"/>
        <v/>
      </c>
      <c r="AB95" s="10" t="str">
        <f t="shared" ca="1" si="28"/>
        <v/>
      </c>
      <c r="AC95" s="10" t="str">
        <f t="shared" ca="1" si="29"/>
        <v/>
      </c>
      <c r="AD95" s="10" t="str">
        <f t="shared" ca="1" si="30"/>
        <v/>
      </c>
      <c r="AE95" s="10" t="str">
        <f t="shared" ca="1" si="31"/>
        <v/>
      </c>
      <c r="AF95" s="10" t="str">
        <f ca="1">IF(AND(Y95,AA95="ERREUR"),COUNTIF($AA$2:$AA95,"ERREUR"),"")</f>
        <v/>
      </c>
    </row>
    <row r="96" spans="23:32" ht="25" customHeight="1">
      <c r="W96" s="11">
        <f t="shared" ca="1" si="24"/>
        <v>46374</v>
      </c>
      <c r="X96" s="10" t="str">
        <f t="shared" ca="1" si="25"/>
        <v>18122026</v>
      </c>
      <c r="Y96" s="10" t="b">
        <f t="shared" ca="1" si="26"/>
        <v>0</v>
      </c>
      <c r="Z96" s="10" t="str">
        <f ca="1">IF(Y96,COUNTIF($Y$2:$Y96,TRUE),"")</f>
        <v/>
      </c>
      <c r="AA96" s="10" t="str">
        <f t="shared" ca="1" si="27"/>
        <v/>
      </c>
      <c r="AB96" s="10" t="str">
        <f t="shared" ca="1" si="28"/>
        <v/>
      </c>
      <c r="AC96" s="10" t="str">
        <f t="shared" ca="1" si="29"/>
        <v/>
      </c>
      <c r="AD96" s="10" t="str">
        <f t="shared" ca="1" si="30"/>
        <v/>
      </c>
      <c r="AE96" s="10" t="str">
        <f t="shared" ca="1" si="31"/>
        <v/>
      </c>
      <c r="AF96" s="10" t="str">
        <f ca="1">IF(AND(Y96,AA96="ERREUR"),COUNTIF($AA$2:$AA96,"ERREUR"),"")</f>
        <v/>
      </c>
    </row>
    <row r="97" spans="23:32" ht="25" customHeight="1">
      <c r="W97" s="11">
        <f t="shared" ca="1" si="24"/>
        <v>46373</v>
      </c>
      <c r="X97" s="10" t="str">
        <f t="shared" ca="1" si="25"/>
        <v>17122026</v>
      </c>
      <c r="Y97" s="10" t="b">
        <f t="shared" ca="1" si="26"/>
        <v>0</v>
      </c>
      <c r="Z97" s="10" t="str">
        <f ca="1">IF(Y97,COUNTIF($Y$2:$Y97,TRUE),"")</f>
        <v/>
      </c>
      <c r="AA97" s="10" t="str">
        <f t="shared" ca="1" si="27"/>
        <v/>
      </c>
      <c r="AB97" s="10" t="str">
        <f t="shared" ca="1" si="28"/>
        <v/>
      </c>
      <c r="AC97" s="10" t="str">
        <f t="shared" ca="1" si="29"/>
        <v/>
      </c>
      <c r="AD97" s="10" t="str">
        <f t="shared" ca="1" si="30"/>
        <v/>
      </c>
      <c r="AE97" s="10" t="str">
        <f t="shared" ca="1" si="31"/>
        <v/>
      </c>
      <c r="AF97" s="10" t="str">
        <f ca="1">IF(AND(Y97,AA97="ERREUR"),COUNTIF($AA$2:$AA97,"ERREUR"),"")</f>
        <v/>
      </c>
    </row>
    <row r="98" spans="23:32" ht="25" customHeight="1">
      <c r="W98" s="11">
        <f t="shared" ca="1" si="24"/>
        <v>46372</v>
      </c>
      <c r="X98" s="10" t="str">
        <f t="shared" ca="1" si="25"/>
        <v>16122026</v>
      </c>
      <c r="Y98" s="10" t="b">
        <f t="shared" ca="1" si="26"/>
        <v>0</v>
      </c>
      <c r="Z98" s="10" t="str">
        <f ca="1">IF(Y98,COUNTIF($Y$2:$Y98,TRUE),"")</f>
        <v/>
      </c>
      <c r="AA98" s="10" t="str">
        <f t="shared" ca="1" si="27"/>
        <v/>
      </c>
      <c r="AB98" s="10" t="str">
        <f t="shared" ca="1" si="28"/>
        <v/>
      </c>
      <c r="AC98" s="10" t="str">
        <f t="shared" ca="1" si="29"/>
        <v/>
      </c>
      <c r="AD98" s="10" t="str">
        <f t="shared" ca="1" si="30"/>
        <v/>
      </c>
      <c r="AE98" s="10" t="str">
        <f t="shared" ca="1" si="31"/>
        <v/>
      </c>
      <c r="AF98" s="10" t="str">
        <f ca="1">IF(AND(Y98,AA98="ERREUR"),COUNTIF($AA$2:$AA98,"ERREUR"),"")</f>
        <v/>
      </c>
    </row>
    <row r="99" spans="23:32" ht="25" customHeight="1">
      <c r="W99" s="11">
        <f t="shared" ca="1" si="24"/>
        <v>46371</v>
      </c>
      <c r="X99" s="10" t="str">
        <f t="shared" ca="1" si="25"/>
        <v>15122026</v>
      </c>
      <c r="Y99" s="10" t="b">
        <f t="shared" ca="1" si="26"/>
        <v>0</v>
      </c>
      <c r="Z99" s="10" t="str">
        <f ca="1">IF(Y99,COUNTIF($Y$2:$Y99,TRUE),"")</f>
        <v/>
      </c>
      <c r="AA99" s="10" t="str">
        <f t="shared" ca="1" si="27"/>
        <v/>
      </c>
      <c r="AB99" s="10" t="str">
        <f t="shared" ca="1" si="28"/>
        <v/>
      </c>
      <c r="AC99" s="10" t="str">
        <f t="shared" ca="1" si="29"/>
        <v/>
      </c>
      <c r="AD99" s="10" t="str">
        <f t="shared" ca="1" si="30"/>
        <v/>
      </c>
      <c r="AE99" s="10" t="str">
        <f t="shared" ca="1" si="31"/>
        <v/>
      </c>
      <c r="AF99" s="10" t="str">
        <f ca="1">IF(AND(Y99,AA99="ERREUR"),COUNTIF($AA$2:$AA99,"ERREUR"),"")</f>
        <v/>
      </c>
    </row>
    <row r="100" spans="23:32" ht="25" customHeight="1">
      <c r="W100" s="11">
        <f t="shared" ca="1" si="24"/>
        <v>46370</v>
      </c>
      <c r="X100" s="10" t="str">
        <f t="shared" ca="1" si="25"/>
        <v>14122026</v>
      </c>
      <c r="Y100" s="10" t="b">
        <f t="shared" ca="1" si="26"/>
        <v>0</v>
      </c>
      <c r="Z100" s="10" t="str">
        <f ca="1">IF(Y100,COUNTIF($Y$2:$Y100,TRUE),"")</f>
        <v/>
      </c>
      <c r="AA100" s="10" t="str">
        <f t="shared" ca="1" si="27"/>
        <v/>
      </c>
      <c r="AB100" s="10" t="str">
        <f t="shared" ca="1" si="28"/>
        <v/>
      </c>
      <c r="AC100" s="10" t="str">
        <f t="shared" ca="1" si="29"/>
        <v/>
      </c>
      <c r="AD100" s="10" t="str">
        <f t="shared" ca="1" si="30"/>
        <v/>
      </c>
      <c r="AE100" s="10" t="str">
        <f t="shared" ca="1" si="31"/>
        <v/>
      </c>
      <c r="AF100" s="10" t="str">
        <f ca="1">IF(AND(Y100,AA100="ERREUR"),COUNTIF($AA$2:$AA100,"ERREUR"),"")</f>
        <v/>
      </c>
    </row>
    <row r="101" spans="23:32" ht="25" customHeight="1">
      <c r="W101" s="11">
        <f t="shared" ca="1" si="24"/>
        <v>46369</v>
      </c>
      <c r="X101" s="10" t="str">
        <f t="shared" ca="1" si="25"/>
        <v>13122026</v>
      </c>
      <c r="Y101" s="10" t="b">
        <f t="shared" ca="1" si="26"/>
        <v>0</v>
      </c>
      <c r="Z101" s="10" t="str">
        <f ca="1">IF(Y101,COUNTIF($Y$2:$Y101,TRUE),"")</f>
        <v/>
      </c>
      <c r="AA101" s="10" t="str">
        <f t="shared" ca="1" si="27"/>
        <v/>
      </c>
      <c r="AB101" s="10" t="str">
        <f t="shared" ca="1" si="28"/>
        <v/>
      </c>
      <c r="AC101" s="10" t="str">
        <f t="shared" ca="1" si="29"/>
        <v/>
      </c>
      <c r="AD101" s="10" t="str">
        <f t="shared" ca="1" si="30"/>
        <v/>
      </c>
      <c r="AE101" s="10" t="str">
        <f t="shared" ca="1" si="31"/>
        <v/>
      </c>
      <c r="AF101" s="10" t="str">
        <f ca="1">IF(AND(Y101,AA101="ERREUR"),COUNTIF($AA$2:$AA101,"ERREUR"),"")</f>
        <v/>
      </c>
    </row>
    <row r="102" spans="23:32" ht="25" customHeight="1">
      <c r="W102" s="11">
        <f t="shared" ca="1" si="24"/>
        <v>46368</v>
      </c>
      <c r="X102" s="10" t="str">
        <f t="shared" ca="1" si="25"/>
        <v>12122026</v>
      </c>
      <c r="Y102" s="10" t="b">
        <f t="shared" ca="1" si="26"/>
        <v>0</v>
      </c>
      <c r="Z102" s="10" t="str">
        <f ca="1">IF(Y102,COUNTIF($Y$2:$Y102,TRUE),"")</f>
        <v/>
      </c>
      <c r="AA102" s="10" t="str">
        <f t="shared" ca="1" si="27"/>
        <v/>
      </c>
      <c r="AB102" s="10" t="str">
        <f t="shared" ca="1" si="28"/>
        <v/>
      </c>
      <c r="AC102" s="10" t="str">
        <f t="shared" ca="1" si="29"/>
        <v/>
      </c>
      <c r="AD102" s="10" t="str">
        <f t="shared" ca="1" si="30"/>
        <v/>
      </c>
      <c r="AE102" s="10" t="str">
        <f t="shared" ca="1" si="31"/>
        <v/>
      </c>
      <c r="AF102" s="10" t="str">
        <f ca="1">IF(AND(Y102,AA102="ERREUR"),COUNTIF($AA$2:$AA102,"ERREUR"),"")</f>
        <v/>
      </c>
    </row>
    <row r="103" spans="23:32" ht="25" customHeight="1">
      <c r="W103" s="11">
        <f t="shared" ca="1" si="24"/>
        <v>46367</v>
      </c>
      <c r="X103" s="10" t="str">
        <f t="shared" ca="1" si="25"/>
        <v>11122026</v>
      </c>
      <c r="Y103" s="10" t="b">
        <f t="shared" ca="1" si="26"/>
        <v>0</v>
      </c>
      <c r="Z103" s="10" t="str">
        <f ca="1">IF(Y103,COUNTIF($Y$2:$Y103,TRUE),"")</f>
        <v/>
      </c>
      <c r="AA103" s="10" t="str">
        <f t="shared" ca="1" si="27"/>
        <v/>
      </c>
      <c r="AB103" s="10" t="str">
        <f t="shared" ca="1" si="28"/>
        <v/>
      </c>
      <c r="AC103" s="10" t="str">
        <f t="shared" ca="1" si="29"/>
        <v/>
      </c>
      <c r="AD103" s="10" t="str">
        <f t="shared" ca="1" si="30"/>
        <v/>
      </c>
      <c r="AE103" s="10" t="str">
        <f t="shared" ca="1" si="31"/>
        <v/>
      </c>
      <c r="AF103" s="10" t="str">
        <f ca="1">IF(AND(Y103,AA103="ERREUR"),COUNTIF($AA$2:$AA103,"ERREUR"),"")</f>
        <v/>
      </c>
    </row>
    <row r="104" spans="23:32" ht="25" customHeight="1">
      <c r="W104" s="11">
        <f t="shared" ca="1" si="24"/>
        <v>46366</v>
      </c>
      <c r="X104" s="10" t="str">
        <f t="shared" ca="1" si="25"/>
        <v>10122026</v>
      </c>
      <c r="Y104" s="10" t="b">
        <f t="shared" ca="1" si="26"/>
        <v>0</v>
      </c>
      <c r="Z104" s="10" t="str">
        <f ca="1">IF(Y104,COUNTIF($Y$2:$Y104,TRUE),"")</f>
        <v/>
      </c>
      <c r="AA104" s="10" t="str">
        <f t="shared" ca="1" si="27"/>
        <v/>
      </c>
      <c r="AB104" s="10" t="str">
        <f t="shared" ca="1" si="28"/>
        <v/>
      </c>
      <c r="AC104" s="10" t="str">
        <f t="shared" ca="1" si="29"/>
        <v/>
      </c>
      <c r="AD104" s="10" t="str">
        <f t="shared" ca="1" si="30"/>
        <v/>
      </c>
      <c r="AE104" s="10" t="str">
        <f t="shared" ca="1" si="31"/>
        <v/>
      </c>
      <c r="AF104" s="10" t="str">
        <f ca="1">IF(AND(Y104,AA104="ERREUR"),COUNTIF($AA$2:$AA104,"ERREUR"),"")</f>
        <v/>
      </c>
    </row>
    <row r="105" spans="23:32" ht="25" customHeight="1">
      <c r="W105" s="11">
        <f t="shared" ca="1" si="24"/>
        <v>46365</v>
      </c>
      <c r="X105" s="10" t="str">
        <f t="shared" ca="1" si="25"/>
        <v>09122026</v>
      </c>
      <c r="Y105" s="10" t="b">
        <f t="shared" ca="1" si="26"/>
        <v>0</v>
      </c>
      <c r="Z105" s="10" t="str">
        <f ca="1">IF(Y105,COUNTIF($Y$2:$Y105,TRUE),"")</f>
        <v/>
      </c>
      <c r="AA105" s="10" t="str">
        <f t="shared" ca="1" si="27"/>
        <v/>
      </c>
      <c r="AB105" s="10" t="str">
        <f t="shared" ca="1" si="28"/>
        <v/>
      </c>
      <c r="AC105" s="10" t="str">
        <f t="shared" ca="1" si="29"/>
        <v/>
      </c>
      <c r="AD105" s="10" t="str">
        <f t="shared" ca="1" si="30"/>
        <v/>
      </c>
      <c r="AE105" s="10" t="str">
        <f t="shared" ca="1" si="31"/>
        <v/>
      </c>
      <c r="AF105" s="10" t="str">
        <f ca="1">IF(AND(Y105,AA105="ERREUR"),COUNTIF($AA$2:$AA105,"ERREUR"),"")</f>
        <v/>
      </c>
    </row>
    <row r="106" spans="23:32" ht="25" customHeight="1">
      <c r="W106" s="11">
        <f t="shared" ca="1" si="24"/>
        <v>46364</v>
      </c>
      <c r="X106" s="10" t="str">
        <f t="shared" ca="1" si="25"/>
        <v>08122026</v>
      </c>
      <c r="Y106" s="10" t="b">
        <f t="shared" ca="1" si="26"/>
        <v>0</v>
      </c>
      <c r="Z106" s="10" t="str">
        <f ca="1">IF(Y106,COUNTIF($Y$2:$Y106,TRUE),"")</f>
        <v/>
      </c>
      <c r="AA106" s="10" t="str">
        <f t="shared" ca="1" si="27"/>
        <v/>
      </c>
      <c r="AB106" s="10" t="str">
        <f t="shared" ca="1" si="28"/>
        <v/>
      </c>
      <c r="AC106" s="10" t="str">
        <f t="shared" ca="1" si="29"/>
        <v/>
      </c>
      <c r="AD106" s="10" t="str">
        <f t="shared" ca="1" si="30"/>
        <v/>
      </c>
      <c r="AE106" s="10" t="str">
        <f t="shared" ca="1" si="31"/>
        <v/>
      </c>
      <c r="AF106" s="10" t="str">
        <f ca="1">IF(AND(Y106,AA106="ERREUR"),COUNTIF($AA$2:$AA106,"ERREUR"),"")</f>
        <v/>
      </c>
    </row>
    <row r="107" spans="23:32" ht="25" customHeight="1">
      <c r="W107" s="11">
        <f t="shared" ca="1" si="24"/>
        <v>46363</v>
      </c>
      <c r="X107" s="10" t="str">
        <f t="shared" ca="1" si="25"/>
        <v>07122026</v>
      </c>
      <c r="Y107" s="10" t="b">
        <f t="shared" ca="1" si="26"/>
        <v>0</v>
      </c>
      <c r="Z107" s="10" t="str">
        <f ca="1">IF(Y107,COUNTIF($Y$2:$Y107,TRUE),"")</f>
        <v/>
      </c>
      <c r="AA107" s="10" t="str">
        <f t="shared" ca="1" si="27"/>
        <v/>
      </c>
      <c r="AB107" s="10" t="str">
        <f t="shared" ca="1" si="28"/>
        <v/>
      </c>
      <c r="AC107" s="10" t="str">
        <f t="shared" ca="1" si="29"/>
        <v/>
      </c>
      <c r="AD107" s="10" t="str">
        <f t="shared" ca="1" si="30"/>
        <v/>
      </c>
      <c r="AE107" s="10" t="str">
        <f t="shared" ca="1" si="31"/>
        <v/>
      </c>
      <c r="AF107" s="10" t="str">
        <f ca="1">IF(AND(Y107,AA107="ERREUR"),COUNTIF($AA$2:$AA107,"ERREUR"),"")</f>
        <v/>
      </c>
    </row>
    <row r="108" spans="23:32" ht="25" customHeight="1">
      <c r="W108" s="11">
        <f t="shared" ca="1" si="24"/>
        <v>46362</v>
      </c>
      <c r="X108" s="10" t="str">
        <f t="shared" ca="1" si="25"/>
        <v>06122026</v>
      </c>
      <c r="Y108" s="10" t="b">
        <f t="shared" ca="1" si="26"/>
        <v>0</v>
      </c>
      <c r="Z108" s="10" t="str">
        <f ca="1">IF(Y108,COUNTIF($Y$2:$Y108,TRUE),"")</f>
        <v/>
      </c>
      <c r="AA108" s="10" t="str">
        <f t="shared" ca="1" si="27"/>
        <v/>
      </c>
      <c r="AB108" s="10" t="str">
        <f t="shared" ca="1" si="28"/>
        <v/>
      </c>
      <c r="AC108" s="10" t="str">
        <f t="shared" ca="1" si="29"/>
        <v/>
      </c>
      <c r="AD108" s="10" t="str">
        <f t="shared" ca="1" si="30"/>
        <v/>
      </c>
      <c r="AE108" s="10" t="str">
        <f t="shared" ca="1" si="31"/>
        <v/>
      </c>
      <c r="AF108" s="10" t="str">
        <f ca="1">IF(AND(Y108,AA108="ERREUR"),COUNTIF($AA$2:$AA108,"ERREUR"),"")</f>
        <v/>
      </c>
    </row>
    <row r="109" spans="23:32" ht="25" customHeight="1">
      <c r="W109" s="11">
        <f t="shared" ca="1" si="24"/>
        <v>46361</v>
      </c>
      <c r="X109" s="10" t="str">
        <f t="shared" ca="1" si="25"/>
        <v>05122026</v>
      </c>
      <c r="Y109" s="10" t="b">
        <f t="shared" ca="1" si="26"/>
        <v>0</v>
      </c>
      <c r="Z109" s="10" t="str">
        <f ca="1">IF(Y109,COUNTIF($Y$2:$Y109,TRUE),"")</f>
        <v/>
      </c>
      <c r="AA109" s="10" t="str">
        <f t="shared" ca="1" si="27"/>
        <v/>
      </c>
      <c r="AB109" s="10" t="str">
        <f t="shared" ca="1" si="28"/>
        <v/>
      </c>
      <c r="AC109" s="10" t="str">
        <f t="shared" ca="1" si="29"/>
        <v/>
      </c>
      <c r="AD109" s="10" t="str">
        <f t="shared" ca="1" si="30"/>
        <v/>
      </c>
      <c r="AE109" s="10" t="str">
        <f t="shared" ca="1" si="31"/>
        <v/>
      </c>
      <c r="AF109" s="10" t="str">
        <f ca="1">IF(AND(Y109,AA109="ERREUR"),COUNTIF($AA$2:$AA109,"ERREUR"),"")</f>
        <v/>
      </c>
    </row>
    <row r="110" spans="23:32" ht="25" customHeight="1">
      <c r="W110" s="11">
        <f t="shared" ca="1" si="24"/>
        <v>46360</v>
      </c>
      <c r="X110" s="10" t="str">
        <f t="shared" ca="1" si="25"/>
        <v>04122026</v>
      </c>
      <c r="Y110" s="10" t="b">
        <f t="shared" ca="1" si="26"/>
        <v>0</v>
      </c>
      <c r="Z110" s="10" t="str">
        <f ca="1">IF(Y110,COUNTIF($Y$2:$Y110,TRUE),"")</f>
        <v/>
      </c>
      <c r="AA110" s="10" t="str">
        <f t="shared" ca="1" si="27"/>
        <v/>
      </c>
      <c r="AB110" s="10" t="str">
        <f t="shared" ca="1" si="28"/>
        <v/>
      </c>
      <c r="AC110" s="10" t="str">
        <f t="shared" ca="1" si="29"/>
        <v/>
      </c>
      <c r="AD110" s="10" t="str">
        <f t="shared" ca="1" si="30"/>
        <v/>
      </c>
      <c r="AE110" s="10" t="str">
        <f t="shared" ca="1" si="31"/>
        <v/>
      </c>
      <c r="AF110" s="10" t="str">
        <f ca="1">IF(AND(Y110,AA110="ERREUR"),COUNTIF($AA$2:$AA110,"ERREUR"),"")</f>
        <v/>
      </c>
    </row>
    <row r="111" spans="23:32" ht="25" customHeight="1">
      <c r="W111" s="11">
        <f t="shared" ca="1" si="24"/>
        <v>46359</v>
      </c>
      <c r="X111" s="10" t="str">
        <f t="shared" ca="1" si="25"/>
        <v>03122026</v>
      </c>
      <c r="Y111" s="10" t="b">
        <f t="shared" ca="1" si="26"/>
        <v>0</v>
      </c>
      <c r="Z111" s="10" t="str">
        <f ca="1">IF(Y111,COUNTIF($Y$2:$Y111,TRUE),"")</f>
        <v/>
      </c>
      <c r="AA111" s="10" t="str">
        <f t="shared" ca="1" si="27"/>
        <v/>
      </c>
      <c r="AB111" s="10" t="str">
        <f t="shared" ca="1" si="28"/>
        <v/>
      </c>
      <c r="AC111" s="10" t="str">
        <f t="shared" ca="1" si="29"/>
        <v/>
      </c>
      <c r="AD111" s="10" t="str">
        <f t="shared" ca="1" si="30"/>
        <v/>
      </c>
      <c r="AE111" s="10" t="str">
        <f t="shared" ca="1" si="31"/>
        <v/>
      </c>
      <c r="AF111" s="10" t="str">
        <f ca="1">IF(AND(Y111,AA111="ERREUR"),COUNTIF($AA$2:$AA111,"ERREUR"),"")</f>
        <v/>
      </c>
    </row>
    <row r="112" spans="23:32" ht="25" customHeight="1">
      <c r="W112" s="11">
        <f t="shared" ca="1" si="24"/>
        <v>46358</v>
      </c>
      <c r="X112" s="10" t="str">
        <f t="shared" ca="1" si="25"/>
        <v>02122026</v>
      </c>
      <c r="Y112" s="10" t="b">
        <f t="shared" ca="1" si="26"/>
        <v>0</v>
      </c>
      <c r="Z112" s="10" t="str">
        <f ca="1">IF(Y112,COUNTIF($Y$2:$Y112,TRUE),"")</f>
        <v/>
      </c>
      <c r="AA112" s="10" t="str">
        <f t="shared" ca="1" si="27"/>
        <v/>
      </c>
      <c r="AB112" s="10" t="str">
        <f t="shared" ca="1" si="28"/>
        <v/>
      </c>
      <c r="AC112" s="10" t="str">
        <f t="shared" ca="1" si="29"/>
        <v/>
      </c>
      <c r="AD112" s="10" t="str">
        <f t="shared" ca="1" si="30"/>
        <v/>
      </c>
      <c r="AE112" s="10" t="str">
        <f t="shared" ca="1" si="31"/>
        <v/>
      </c>
      <c r="AF112" s="10" t="str">
        <f ca="1">IF(AND(Y112,AA112="ERREUR"),COUNTIF($AA$2:$AA112,"ERREUR"),"")</f>
        <v/>
      </c>
    </row>
    <row r="113" spans="23:32" ht="25" customHeight="1">
      <c r="W113" s="11">
        <f t="shared" ca="1" si="24"/>
        <v>46357</v>
      </c>
      <c r="X113" s="10" t="str">
        <f t="shared" ca="1" si="25"/>
        <v>01122026</v>
      </c>
      <c r="Y113" s="10" t="b">
        <f t="shared" ca="1" si="26"/>
        <v>0</v>
      </c>
      <c r="Z113" s="10" t="str">
        <f ca="1">IF(Y113,COUNTIF($Y$2:$Y113,TRUE),"")</f>
        <v/>
      </c>
      <c r="AA113" s="10" t="str">
        <f t="shared" ca="1" si="27"/>
        <v/>
      </c>
      <c r="AB113" s="10" t="str">
        <f t="shared" ca="1" si="28"/>
        <v/>
      </c>
      <c r="AC113" s="10" t="str">
        <f t="shared" ca="1" si="29"/>
        <v/>
      </c>
      <c r="AD113" s="10" t="str">
        <f t="shared" ca="1" si="30"/>
        <v/>
      </c>
      <c r="AE113" s="10" t="str">
        <f t="shared" ca="1" si="31"/>
        <v/>
      </c>
      <c r="AF113" s="10" t="str">
        <f ca="1">IF(AND(Y113,AA113="ERREUR"),COUNTIF($AA$2:$AA113,"ERREUR"),"")</f>
        <v/>
      </c>
    </row>
    <row r="114" spans="23:32" ht="25" customHeight="1">
      <c r="W114" s="11">
        <f t="shared" ca="1" si="24"/>
        <v>46356</v>
      </c>
      <c r="X114" s="10" t="str">
        <f t="shared" ca="1" si="25"/>
        <v>30112026</v>
      </c>
      <c r="Y114" s="10" t="b">
        <f t="shared" ca="1" si="26"/>
        <v>0</v>
      </c>
      <c r="Z114" s="10" t="str">
        <f ca="1">IF(Y114,COUNTIF($Y$2:$Y114,TRUE),"")</f>
        <v/>
      </c>
      <c r="AA114" s="10" t="str">
        <f t="shared" ca="1" si="27"/>
        <v/>
      </c>
      <c r="AB114" s="10" t="str">
        <f t="shared" ca="1" si="28"/>
        <v/>
      </c>
      <c r="AC114" s="10" t="str">
        <f t="shared" ca="1" si="29"/>
        <v/>
      </c>
      <c r="AD114" s="10" t="str">
        <f t="shared" ca="1" si="30"/>
        <v/>
      </c>
      <c r="AE114" s="10" t="str">
        <f t="shared" ca="1" si="31"/>
        <v/>
      </c>
      <c r="AF114" s="10" t="str">
        <f ca="1">IF(AND(Y114,AA114="ERREUR"),COUNTIF($AA$2:$AA114,"ERREUR"),"")</f>
        <v/>
      </c>
    </row>
    <row r="115" spans="23:32" ht="25" customHeight="1">
      <c r="W115" s="11">
        <f t="shared" ca="1" si="24"/>
        <v>46355</v>
      </c>
      <c r="X115" s="10" t="str">
        <f t="shared" ca="1" si="25"/>
        <v>29112026</v>
      </c>
      <c r="Y115" s="10" t="b">
        <f t="shared" ca="1" si="26"/>
        <v>0</v>
      </c>
      <c r="Z115" s="10" t="str">
        <f ca="1">IF(Y115,COUNTIF($Y$2:$Y115,TRUE),"")</f>
        <v/>
      </c>
      <c r="AA115" s="10" t="str">
        <f t="shared" ca="1" si="27"/>
        <v/>
      </c>
      <c r="AB115" s="10" t="str">
        <f t="shared" ca="1" si="28"/>
        <v/>
      </c>
      <c r="AC115" s="10" t="str">
        <f t="shared" ca="1" si="29"/>
        <v/>
      </c>
      <c r="AD115" s="10" t="str">
        <f t="shared" ca="1" si="30"/>
        <v/>
      </c>
      <c r="AE115" s="10" t="str">
        <f t="shared" ca="1" si="31"/>
        <v/>
      </c>
      <c r="AF115" s="10" t="str">
        <f ca="1">IF(AND(Y115,AA115="ERREUR"),COUNTIF($AA$2:$AA115,"ERREUR"),"")</f>
        <v/>
      </c>
    </row>
    <row r="116" spans="23:32" ht="25" customHeight="1">
      <c r="W116" s="11">
        <f t="shared" ca="1" si="24"/>
        <v>46354</v>
      </c>
      <c r="X116" s="10" t="str">
        <f t="shared" ca="1" si="25"/>
        <v>28112026</v>
      </c>
      <c r="Y116" s="10" t="b">
        <f t="shared" ca="1" si="26"/>
        <v>0</v>
      </c>
      <c r="Z116" s="10" t="str">
        <f ca="1">IF(Y116,COUNTIF($Y$2:$Y116,TRUE),"")</f>
        <v/>
      </c>
      <c r="AA116" s="10" t="str">
        <f t="shared" ca="1" si="27"/>
        <v/>
      </c>
      <c r="AB116" s="10" t="str">
        <f t="shared" ca="1" si="28"/>
        <v/>
      </c>
      <c r="AC116" s="10" t="str">
        <f t="shared" ca="1" si="29"/>
        <v/>
      </c>
      <c r="AD116" s="10" t="str">
        <f t="shared" ca="1" si="30"/>
        <v/>
      </c>
      <c r="AE116" s="10" t="str">
        <f t="shared" ca="1" si="31"/>
        <v/>
      </c>
      <c r="AF116" s="10" t="str">
        <f ca="1">IF(AND(Y116,AA116="ERREUR"),COUNTIF($AA$2:$AA116,"ERREUR"),"")</f>
        <v/>
      </c>
    </row>
    <row r="117" spans="23:32" ht="25" customHeight="1">
      <c r="W117" s="11">
        <f t="shared" ca="1" si="24"/>
        <v>46353</v>
      </c>
      <c r="X117" s="10" t="str">
        <f t="shared" ca="1" si="25"/>
        <v>27112026</v>
      </c>
      <c r="Y117" s="10" t="b">
        <f t="shared" ca="1" si="26"/>
        <v>0</v>
      </c>
      <c r="Z117" s="10" t="str">
        <f ca="1">IF(Y117,COUNTIF($Y$2:$Y117,TRUE),"")</f>
        <v/>
      </c>
      <c r="AA117" s="10" t="str">
        <f t="shared" ca="1" si="27"/>
        <v/>
      </c>
      <c r="AB117" s="10" t="str">
        <f t="shared" ca="1" si="28"/>
        <v/>
      </c>
      <c r="AC117" s="10" t="str">
        <f t="shared" ca="1" si="29"/>
        <v/>
      </c>
      <c r="AD117" s="10" t="str">
        <f t="shared" ca="1" si="30"/>
        <v/>
      </c>
      <c r="AE117" s="10" t="str">
        <f t="shared" ca="1" si="31"/>
        <v/>
      </c>
      <c r="AF117" s="10" t="str">
        <f ca="1">IF(AND(Y117,AA117="ERREUR"),COUNTIF($AA$2:$AA117,"ERREUR"),"")</f>
        <v/>
      </c>
    </row>
    <row r="118" spans="23:32" ht="25" customHeight="1">
      <c r="W118" s="11">
        <f t="shared" ca="1" si="24"/>
        <v>46352</v>
      </c>
      <c r="X118" s="10" t="str">
        <f t="shared" ca="1" si="25"/>
        <v>26112026</v>
      </c>
      <c r="Y118" s="10" t="b">
        <f t="shared" ca="1" si="26"/>
        <v>0</v>
      </c>
      <c r="Z118" s="10" t="str">
        <f ca="1">IF(Y118,COUNTIF($Y$2:$Y118,TRUE),"")</f>
        <v/>
      </c>
      <c r="AA118" s="10" t="str">
        <f t="shared" ca="1" si="27"/>
        <v/>
      </c>
      <c r="AB118" s="10" t="str">
        <f t="shared" ca="1" si="28"/>
        <v/>
      </c>
      <c r="AC118" s="10" t="str">
        <f t="shared" ca="1" si="29"/>
        <v/>
      </c>
      <c r="AD118" s="10" t="str">
        <f t="shared" ca="1" si="30"/>
        <v/>
      </c>
      <c r="AE118" s="10" t="str">
        <f t="shared" ca="1" si="31"/>
        <v/>
      </c>
      <c r="AF118" s="10" t="str">
        <f ca="1">IF(AND(Y118,AA118="ERREUR"),COUNTIF($AA$2:$AA118,"ERREUR"),"")</f>
        <v/>
      </c>
    </row>
    <row r="119" spans="23:32" ht="25" customHeight="1">
      <c r="W119" s="11">
        <f t="shared" ca="1" si="24"/>
        <v>46351</v>
      </c>
      <c r="X119" s="10" t="str">
        <f t="shared" ca="1" si="25"/>
        <v>25112026</v>
      </c>
      <c r="Y119" s="10" t="b">
        <f t="shared" ca="1" si="26"/>
        <v>0</v>
      </c>
      <c r="Z119" s="10" t="str">
        <f ca="1">IF(Y119,COUNTIF($Y$2:$Y119,TRUE),"")</f>
        <v/>
      </c>
      <c r="AA119" s="10" t="str">
        <f t="shared" ca="1" si="27"/>
        <v/>
      </c>
      <c r="AB119" s="10" t="str">
        <f t="shared" ca="1" si="28"/>
        <v/>
      </c>
      <c r="AC119" s="10" t="str">
        <f t="shared" ca="1" si="29"/>
        <v/>
      </c>
      <c r="AD119" s="10" t="str">
        <f t="shared" ca="1" si="30"/>
        <v/>
      </c>
      <c r="AE119" s="10" t="str">
        <f t="shared" ca="1" si="31"/>
        <v/>
      </c>
      <c r="AF119" s="10" t="str">
        <f ca="1">IF(AND(Y119,AA119="ERREUR"),COUNTIF($AA$2:$AA119,"ERREUR"),"")</f>
        <v/>
      </c>
    </row>
    <row r="120" spans="23:32" ht="25" customHeight="1">
      <c r="W120" s="11">
        <f t="shared" ca="1" si="24"/>
        <v>46350</v>
      </c>
      <c r="X120" s="10" t="str">
        <f t="shared" ca="1" si="25"/>
        <v>24112026</v>
      </c>
      <c r="Y120" s="10" t="b">
        <f t="shared" ca="1" si="26"/>
        <v>0</v>
      </c>
      <c r="Z120" s="10" t="str">
        <f ca="1">IF(Y120,COUNTIF($Y$2:$Y120,TRUE),"")</f>
        <v/>
      </c>
      <c r="AA120" s="10" t="str">
        <f t="shared" ca="1" si="27"/>
        <v/>
      </c>
      <c r="AB120" s="10" t="str">
        <f t="shared" ca="1" si="28"/>
        <v/>
      </c>
      <c r="AC120" s="10" t="str">
        <f t="shared" ca="1" si="29"/>
        <v/>
      </c>
      <c r="AD120" s="10" t="str">
        <f t="shared" ca="1" si="30"/>
        <v/>
      </c>
      <c r="AE120" s="10" t="str">
        <f t="shared" ca="1" si="31"/>
        <v/>
      </c>
      <c r="AF120" s="10" t="str">
        <f ca="1">IF(AND(Y120,AA120="ERREUR"),COUNTIF($AA$2:$AA120,"ERREUR"),"")</f>
        <v/>
      </c>
    </row>
    <row r="121" spans="23:32" ht="25" customHeight="1">
      <c r="W121" s="11">
        <f t="shared" ca="1" si="24"/>
        <v>46349</v>
      </c>
      <c r="X121" s="10" t="str">
        <f t="shared" ca="1" si="25"/>
        <v>23112026</v>
      </c>
      <c r="Y121" s="10" t="b">
        <f t="shared" ca="1" si="26"/>
        <v>0</v>
      </c>
      <c r="Z121" s="10" t="str">
        <f ca="1">IF(Y121,COUNTIF($Y$2:$Y121,TRUE),"")</f>
        <v/>
      </c>
      <c r="AA121" s="10" t="str">
        <f t="shared" ca="1" si="27"/>
        <v/>
      </c>
      <c r="AB121" s="10" t="str">
        <f t="shared" ca="1" si="28"/>
        <v/>
      </c>
      <c r="AC121" s="10" t="str">
        <f t="shared" ca="1" si="29"/>
        <v/>
      </c>
      <c r="AD121" s="10" t="str">
        <f t="shared" ca="1" si="30"/>
        <v/>
      </c>
      <c r="AE121" s="10" t="str">
        <f t="shared" ca="1" si="31"/>
        <v/>
      </c>
      <c r="AF121" s="10" t="str">
        <f ca="1">IF(AND(Y121,AA121="ERREUR"),COUNTIF($AA$2:$AA121,"ERREUR"),"")</f>
        <v/>
      </c>
    </row>
    <row r="122" spans="23:32" ht="25" customHeight="1">
      <c r="W122" s="11">
        <f t="shared" ca="1" si="24"/>
        <v>46348</v>
      </c>
      <c r="X122" s="10" t="str">
        <f t="shared" ca="1" si="25"/>
        <v>22112026</v>
      </c>
      <c r="Y122" s="10" t="b">
        <f t="shared" ca="1" si="26"/>
        <v>0</v>
      </c>
      <c r="Z122" s="10" t="str">
        <f ca="1">IF(Y122,COUNTIF($Y$2:$Y122,TRUE),"")</f>
        <v/>
      </c>
      <c r="AA122" s="10" t="str">
        <f t="shared" ca="1" si="27"/>
        <v/>
      </c>
      <c r="AB122" s="10" t="str">
        <f t="shared" ca="1" si="28"/>
        <v/>
      </c>
      <c r="AC122" s="10" t="str">
        <f t="shared" ca="1" si="29"/>
        <v/>
      </c>
      <c r="AD122" s="10" t="str">
        <f t="shared" ca="1" si="30"/>
        <v/>
      </c>
      <c r="AE122" s="10" t="str">
        <f t="shared" ca="1" si="31"/>
        <v/>
      </c>
      <c r="AF122" s="10" t="str">
        <f ca="1">IF(AND(Y122,AA122="ERREUR"),COUNTIF($AA$2:$AA122,"ERREUR"),"")</f>
        <v/>
      </c>
    </row>
    <row r="123" spans="23:32" ht="25" customHeight="1">
      <c r="W123" s="11">
        <f t="shared" ca="1" si="24"/>
        <v>46347</v>
      </c>
      <c r="X123" s="10" t="str">
        <f t="shared" ca="1" si="25"/>
        <v>21112026</v>
      </c>
      <c r="Y123" s="10" t="b">
        <f t="shared" ca="1" si="26"/>
        <v>0</v>
      </c>
      <c r="Z123" s="10" t="str">
        <f ca="1">IF(Y123,COUNTIF($Y$2:$Y123,TRUE),"")</f>
        <v/>
      </c>
      <c r="AA123" s="10" t="str">
        <f t="shared" ca="1" si="27"/>
        <v/>
      </c>
      <c r="AB123" s="10" t="str">
        <f t="shared" ca="1" si="28"/>
        <v/>
      </c>
      <c r="AC123" s="10" t="str">
        <f t="shared" ca="1" si="29"/>
        <v/>
      </c>
      <c r="AD123" s="10" t="str">
        <f t="shared" ca="1" si="30"/>
        <v/>
      </c>
      <c r="AE123" s="10" t="str">
        <f t="shared" ca="1" si="31"/>
        <v/>
      </c>
      <c r="AF123" s="10" t="str">
        <f ca="1">IF(AND(Y123,AA123="ERREUR"),COUNTIF($AA$2:$AA123,"ERREUR"),"")</f>
        <v/>
      </c>
    </row>
    <row r="124" spans="23:32" ht="25" customHeight="1">
      <c r="W124" s="11">
        <f t="shared" ca="1" si="24"/>
        <v>46346</v>
      </c>
      <c r="X124" s="10" t="str">
        <f t="shared" ca="1" si="25"/>
        <v>20112026</v>
      </c>
      <c r="Y124" s="10" t="b">
        <f t="shared" ca="1" si="26"/>
        <v>0</v>
      </c>
      <c r="Z124" s="10" t="str">
        <f ca="1">IF(Y124,COUNTIF($Y$2:$Y124,TRUE),"")</f>
        <v/>
      </c>
      <c r="AA124" s="10" t="str">
        <f t="shared" ca="1" si="27"/>
        <v/>
      </c>
      <c r="AB124" s="10" t="str">
        <f t="shared" ca="1" si="28"/>
        <v/>
      </c>
      <c r="AC124" s="10" t="str">
        <f t="shared" ca="1" si="29"/>
        <v/>
      </c>
      <c r="AD124" s="10" t="str">
        <f t="shared" ca="1" si="30"/>
        <v/>
      </c>
      <c r="AE124" s="10" t="str">
        <f t="shared" ca="1" si="31"/>
        <v/>
      </c>
      <c r="AF124" s="10" t="str">
        <f ca="1">IF(AND(Y124,AA124="ERREUR"),COUNTIF($AA$2:$AA124,"ERREUR"),"")</f>
        <v/>
      </c>
    </row>
    <row r="125" spans="23:32" ht="25" customHeight="1">
      <c r="W125" s="11">
        <f t="shared" ca="1" si="24"/>
        <v>46345</v>
      </c>
      <c r="X125" s="10" t="str">
        <f t="shared" ca="1" si="25"/>
        <v>19112026</v>
      </c>
      <c r="Y125" s="10" t="b">
        <f t="shared" ca="1" si="26"/>
        <v>0</v>
      </c>
      <c r="Z125" s="10" t="str">
        <f ca="1">IF(Y125,COUNTIF($Y$2:$Y125,TRUE),"")</f>
        <v/>
      </c>
      <c r="AA125" s="10" t="str">
        <f t="shared" ca="1" si="27"/>
        <v/>
      </c>
      <c r="AB125" s="10" t="str">
        <f t="shared" ca="1" si="28"/>
        <v/>
      </c>
      <c r="AC125" s="10" t="str">
        <f t="shared" ca="1" si="29"/>
        <v/>
      </c>
      <c r="AD125" s="10" t="str">
        <f t="shared" ca="1" si="30"/>
        <v/>
      </c>
      <c r="AE125" s="10" t="str">
        <f t="shared" ca="1" si="31"/>
        <v/>
      </c>
      <c r="AF125" s="10" t="str">
        <f ca="1">IF(AND(Y125,AA125="ERREUR"),COUNTIF($AA$2:$AA125,"ERREUR"),"")</f>
        <v/>
      </c>
    </row>
    <row r="126" spans="23:32" ht="25" customHeight="1">
      <c r="W126" s="11">
        <f t="shared" ca="1" si="24"/>
        <v>46344</v>
      </c>
      <c r="X126" s="10" t="str">
        <f t="shared" ca="1" si="25"/>
        <v>18112026</v>
      </c>
      <c r="Y126" s="10" t="b">
        <f t="shared" ca="1" si="26"/>
        <v>0</v>
      </c>
      <c r="Z126" s="10" t="str">
        <f ca="1">IF(Y126,COUNTIF($Y$2:$Y126,TRUE),"")</f>
        <v/>
      </c>
      <c r="AA126" s="10" t="str">
        <f t="shared" ca="1" si="27"/>
        <v/>
      </c>
      <c r="AB126" s="10" t="str">
        <f t="shared" ca="1" si="28"/>
        <v/>
      </c>
      <c r="AC126" s="10" t="str">
        <f t="shared" ca="1" si="29"/>
        <v/>
      </c>
      <c r="AD126" s="10" t="str">
        <f t="shared" ca="1" si="30"/>
        <v/>
      </c>
      <c r="AE126" s="10" t="str">
        <f t="shared" ca="1" si="31"/>
        <v/>
      </c>
      <c r="AF126" s="10" t="str">
        <f ca="1">IF(AND(Y126,AA126="ERREUR"),COUNTIF($AA$2:$AA126,"ERREUR"),"")</f>
        <v/>
      </c>
    </row>
    <row r="127" spans="23:32" ht="25" customHeight="1">
      <c r="W127" s="11">
        <f t="shared" ca="1" si="24"/>
        <v>46343</v>
      </c>
      <c r="X127" s="10" t="str">
        <f t="shared" ca="1" si="25"/>
        <v>17112026</v>
      </c>
      <c r="Y127" s="10" t="b">
        <f t="shared" ca="1" si="26"/>
        <v>0</v>
      </c>
      <c r="Z127" s="10" t="str">
        <f ca="1">IF(Y127,COUNTIF($Y$2:$Y127,TRUE),"")</f>
        <v/>
      </c>
      <c r="AA127" s="10" t="str">
        <f t="shared" ca="1" si="27"/>
        <v/>
      </c>
      <c r="AB127" s="10" t="str">
        <f t="shared" ca="1" si="28"/>
        <v/>
      </c>
      <c r="AC127" s="10" t="str">
        <f t="shared" ca="1" si="29"/>
        <v/>
      </c>
      <c r="AD127" s="10" t="str">
        <f t="shared" ca="1" si="30"/>
        <v/>
      </c>
      <c r="AE127" s="10" t="str">
        <f t="shared" ca="1" si="31"/>
        <v/>
      </c>
      <c r="AF127" s="10" t="str">
        <f ca="1">IF(AND(Y127,AA127="ERREUR"),COUNTIF($AA$2:$AA127,"ERREUR"),"")</f>
        <v/>
      </c>
    </row>
    <row r="128" spans="23:32" ht="25" customHeight="1">
      <c r="W128" s="11">
        <f t="shared" ca="1" si="24"/>
        <v>46342</v>
      </c>
      <c r="X128" s="10" t="str">
        <f t="shared" ca="1" si="25"/>
        <v>16112026</v>
      </c>
      <c r="Y128" s="10" t="b">
        <f t="shared" ca="1" si="26"/>
        <v>0</v>
      </c>
      <c r="Z128" s="10" t="str">
        <f ca="1">IF(Y128,COUNTIF($Y$2:$Y128,TRUE),"")</f>
        <v/>
      </c>
      <c r="AA128" s="10" t="str">
        <f t="shared" ca="1" si="27"/>
        <v/>
      </c>
      <c r="AB128" s="10" t="str">
        <f t="shared" ca="1" si="28"/>
        <v/>
      </c>
      <c r="AC128" s="10" t="str">
        <f t="shared" ca="1" si="29"/>
        <v/>
      </c>
      <c r="AD128" s="10" t="str">
        <f t="shared" ca="1" si="30"/>
        <v/>
      </c>
      <c r="AE128" s="10" t="str">
        <f t="shared" ca="1" si="31"/>
        <v/>
      </c>
      <c r="AF128" s="10" t="str">
        <f ca="1">IF(AND(Y128,AA128="ERREUR"),COUNTIF($AA$2:$AA128,"ERREUR"),"")</f>
        <v/>
      </c>
    </row>
    <row r="129" spans="23:32" ht="25" customHeight="1">
      <c r="W129" s="11">
        <f t="shared" ca="1" si="24"/>
        <v>46341</v>
      </c>
      <c r="X129" s="10" t="str">
        <f t="shared" ca="1" si="25"/>
        <v>15112026</v>
      </c>
      <c r="Y129" s="10" t="b">
        <f t="shared" ca="1" si="26"/>
        <v>0</v>
      </c>
      <c r="Z129" s="10" t="str">
        <f ca="1">IF(Y129,COUNTIF($Y$2:$Y129,TRUE),"")</f>
        <v/>
      </c>
      <c r="AA129" s="10" t="str">
        <f t="shared" ca="1" si="27"/>
        <v/>
      </c>
      <c r="AB129" s="10" t="str">
        <f t="shared" ca="1" si="28"/>
        <v/>
      </c>
      <c r="AC129" s="10" t="str">
        <f t="shared" ca="1" si="29"/>
        <v/>
      </c>
      <c r="AD129" s="10" t="str">
        <f t="shared" ca="1" si="30"/>
        <v/>
      </c>
      <c r="AE129" s="10" t="str">
        <f t="shared" ca="1" si="31"/>
        <v/>
      </c>
      <c r="AF129" s="10" t="str">
        <f ca="1">IF(AND(Y129,AA129="ERREUR"),COUNTIF($AA$2:$AA129,"ERREUR"),"")</f>
        <v/>
      </c>
    </row>
    <row r="130" spans="23:32" ht="25" customHeight="1">
      <c r="W130" s="11">
        <f t="shared" ref="W130:W193" ca="1" si="32">TODAY()+365-ROW()+2</f>
        <v>46340</v>
      </c>
      <c r="X130" s="10" t="str">
        <f t="shared" ref="X130:X193" ca="1" si="33">RIGHT("0"&amp;DAY(W130),2)&amp;RIGHT("0"&amp;MONTH(W130),2)&amp;YEAR(W130)</f>
        <v>14112026</v>
      </c>
      <c r="Y130" s="10" t="b">
        <f t="shared" ref="Y130:Y193" ca="1" si="34">IFERROR(INDIRECT(CHAR(39)&amp;X130&amp;CHAR(39)&amp;"!C3")="DATE DE CAISSE",FALSE)</f>
        <v>0</v>
      </c>
      <c r="Z130" s="10" t="str">
        <f ca="1">IF(Y130,COUNTIF($Y$2:$Y130,TRUE),"")</f>
        <v/>
      </c>
      <c r="AA130" s="10" t="str">
        <f t="shared" ref="AA130:AA193" ca="1" si="35">IF($Y130,IFERROR(IF(INDIRECT(CHAR(39)&amp;$X130&amp;CHAR(39)&amp;"!P3")="VIDE","NON SAISIE",INDIRECT(CHAR(39)&amp;$X130&amp;CHAR(39)&amp;"!P3")),""),"")</f>
        <v/>
      </c>
      <c r="AB130" s="10" t="str">
        <f t="shared" ref="AB130:AB193" ca="1" si="36">IF($Y130,IFERROR(INDIRECT(CHAR(39)&amp;$X130&amp;CHAR(39)&amp;"!M59"),""),"")</f>
        <v/>
      </c>
      <c r="AC130" s="10" t="str">
        <f t="shared" ref="AC130:AC193" ca="1" si="37">IF(Y130,IFERROR(INDIRECT(CHAR(39)&amp;X130&amp;CHAR(39)&amp;"!M3"),""),"")</f>
        <v/>
      </c>
      <c r="AD130" s="10" t="str">
        <f t="shared" ref="AD130:AD193" ca="1" si="38">IF(Y130,IFERROR(INDIRECT(CHAR(39)&amp;X130&amp;CHAR(39)&amp;"!M60"),""),"")</f>
        <v/>
      </c>
      <c r="AE130" s="10" t="str">
        <f t="shared" ref="AE130:AE193" ca="1" si="39">IF($Y130,IF($AA130="OK","RAS",IF($AA130="NON SAISIE","Non saisie",IF($AC130&lt;&gt;0,"Ecart de saisie",IF($AD130&lt;&gt;0,"Ecart de caisse",IF(IFERROR(COUNTIF(INDIRECT(CHAR(39)&amp;$X130&amp;CHAR(39)&amp;"!M11:M40"),"ERREUR"),0)&gt;0,"Lignes facture",IF(IFERROR(COUNTIF(INDIRECT(CHAR(39)&amp;$X130&amp;CHAR(39)&amp;"!N47:N50"),"&lt;&gt;OK"),0)&gt;0,"Controle banque","A verifier")))))),"")</f>
        <v/>
      </c>
      <c r="AF130" s="10" t="str">
        <f ca="1">IF(AND(Y130,AA130="ERREUR"),COUNTIF($AA$2:$AA130,"ERREUR"),"")</f>
        <v/>
      </c>
    </row>
    <row r="131" spans="23:32" ht="25" customHeight="1">
      <c r="W131" s="11">
        <f t="shared" ca="1" si="32"/>
        <v>46339</v>
      </c>
      <c r="X131" s="10" t="str">
        <f t="shared" ca="1" si="33"/>
        <v>13112026</v>
      </c>
      <c r="Y131" s="10" t="b">
        <f t="shared" ca="1" si="34"/>
        <v>0</v>
      </c>
      <c r="Z131" s="10" t="str">
        <f ca="1">IF(Y131,COUNTIF($Y$2:$Y131,TRUE),"")</f>
        <v/>
      </c>
      <c r="AA131" s="10" t="str">
        <f t="shared" ca="1" si="35"/>
        <v/>
      </c>
      <c r="AB131" s="10" t="str">
        <f t="shared" ca="1" si="36"/>
        <v/>
      </c>
      <c r="AC131" s="10" t="str">
        <f t="shared" ca="1" si="37"/>
        <v/>
      </c>
      <c r="AD131" s="10" t="str">
        <f t="shared" ca="1" si="38"/>
        <v/>
      </c>
      <c r="AE131" s="10" t="str">
        <f t="shared" ca="1" si="39"/>
        <v/>
      </c>
      <c r="AF131" s="10" t="str">
        <f ca="1">IF(AND(Y131,AA131="ERREUR"),COUNTIF($AA$2:$AA131,"ERREUR"),"")</f>
        <v/>
      </c>
    </row>
    <row r="132" spans="23:32" ht="25" customHeight="1">
      <c r="W132" s="11">
        <f t="shared" ca="1" si="32"/>
        <v>46338</v>
      </c>
      <c r="X132" s="10" t="str">
        <f t="shared" ca="1" si="33"/>
        <v>12112026</v>
      </c>
      <c r="Y132" s="10" t="b">
        <f t="shared" ca="1" si="34"/>
        <v>0</v>
      </c>
      <c r="Z132" s="10" t="str">
        <f ca="1">IF(Y132,COUNTIF($Y$2:$Y132,TRUE),"")</f>
        <v/>
      </c>
      <c r="AA132" s="10" t="str">
        <f t="shared" ca="1" si="35"/>
        <v/>
      </c>
      <c r="AB132" s="10" t="str">
        <f t="shared" ca="1" si="36"/>
        <v/>
      </c>
      <c r="AC132" s="10" t="str">
        <f t="shared" ca="1" si="37"/>
        <v/>
      </c>
      <c r="AD132" s="10" t="str">
        <f t="shared" ca="1" si="38"/>
        <v/>
      </c>
      <c r="AE132" s="10" t="str">
        <f t="shared" ca="1" si="39"/>
        <v/>
      </c>
      <c r="AF132" s="10" t="str">
        <f ca="1">IF(AND(Y132,AA132="ERREUR"),COUNTIF($AA$2:$AA132,"ERREUR"),"")</f>
        <v/>
      </c>
    </row>
    <row r="133" spans="23:32" ht="25" customHeight="1">
      <c r="W133" s="11">
        <f t="shared" ca="1" si="32"/>
        <v>46337</v>
      </c>
      <c r="X133" s="10" t="str">
        <f t="shared" ca="1" si="33"/>
        <v>11112026</v>
      </c>
      <c r="Y133" s="10" t="b">
        <f t="shared" ca="1" si="34"/>
        <v>0</v>
      </c>
      <c r="Z133" s="10" t="str">
        <f ca="1">IF(Y133,COUNTIF($Y$2:$Y133,TRUE),"")</f>
        <v/>
      </c>
      <c r="AA133" s="10" t="str">
        <f t="shared" ca="1" si="35"/>
        <v/>
      </c>
      <c r="AB133" s="10" t="str">
        <f t="shared" ca="1" si="36"/>
        <v/>
      </c>
      <c r="AC133" s="10" t="str">
        <f t="shared" ca="1" si="37"/>
        <v/>
      </c>
      <c r="AD133" s="10" t="str">
        <f t="shared" ca="1" si="38"/>
        <v/>
      </c>
      <c r="AE133" s="10" t="str">
        <f t="shared" ca="1" si="39"/>
        <v/>
      </c>
      <c r="AF133" s="10" t="str">
        <f ca="1">IF(AND(Y133,AA133="ERREUR"),COUNTIF($AA$2:$AA133,"ERREUR"),"")</f>
        <v/>
      </c>
    </row>
    <row r="134" spans="23:32" ht="25" customHeight="1">
      <c r="W134" s="11">
        <f t="shared" ca="1" si="32"/>
        <v>46336</v>
      </c>
      <c r="X134" s="10" t="str">
        <f t="shared" ca="1" si="33"/>
        <v>10112026</v>
      </c>
      <c r="Y134" s="10" t="b">
        <f t="shared" ca="1" si="34"/>
        <v>0</v>
      </c>
      <c r="Z134" s="10" t="str">
        <f ca="1">IF(Y134,COUNTIF($Y$2:$Y134,TRUE),"")</f>
        <v/>
      </c>
      <c r="AA134" s="10" t="str">
        <f t="shared" ca="1" si="35"/>
        <v/>
      </c>
      <c r="AB134" s="10" t="str">
        <f t="shared" ca="1" si="36"/>
        <v/>
      </c>
      <c r="AC134" s="10" t="str">
        <f t="shared" ca="1" si="37"/>
        <v/>
      </c>
      <c r="AD134" s="10" t="str">
        <f t="shared" ca="1" si="38"/>
        <v/>
      </c>
      <c r="AE134" s="10" t="str">
        <f t="shared" ca="1" si="39"/>
        <v/>
      </c>
      <c r="AF134" s="10" t="str">
        <f ca="1">IF(AND(Y134,AA134="ERREUR"),COUNTIF($AA$2:$AA134,"ERREUR"),"")</f>
        <v/>
      </c>
    </row>
    <row r="135" spans="23:32" ht="25" customHeight="1">
      <c r="W135" s="11">
        <f t="shared" ca="1" si="32"/>
        <v>46335</v>
      </c>
      <c r="X135" s="10" t="str">
        <f t="shared" ca="1" si="33"/>
        <v>09112026</v>
      </c>
      <c r="Y135" s="10" t="b">
        <f t="shared" ca="1" si="34"/>
        <v>0</v>
      </c>
      <c r="Z135" s="10" t="str">
        <f ca="1">IF(Y135,COUNTIF($Y$2:$Y135,TRUE),"")</f>
        <v/>
      </c>
      <c r="AA135" s="10" t="str">
        <f t="shared" ca="1" si="35"/>
        <v/>
      </c>
      <c r="AB135" s="10" t="str">
        <f t="shared" ca="1" si="36"/>
        <v/>
      </c>
      <c r="AC135" s="10" t="str">
        <f t="shared" ca="1" si="37"/>
        <v/>
      </c>
      <c r="AD135" s="10" t="str">
        <f t="shared" ca="1" si="38"/>
        <v/>
      </c>
      <c r="AE135" s="10" t="str">
        <f t="shared" ca="1" si="39"/>
        <v/>
      </c>
      <c r="AF135" s="10" t="str">
        <f ca="1">IF(AND(Y135,AA135="ERREUR"),COUNTIF($AA$2:$AA135,"ERREUR"),"")</f>
        <v/>
      </c>
    </row>
    <row r="136" spans="23:32" ht="25" customHeight="1">
      <c r="W136" s="11">
        <f t="shared" ca="1" si="32"/>
        <v>46334</v>
      </c>
      <c r="X136" s="10" t="str">
        <f t="shared" ca="1" si="33"/>
        <v>08112026</v>
      </c>
      <c r="Y136" s="10" t="b">
        <f t="shared" ca="1" si="34"/>
        <v>0</v>
      </c>
      <c r="Z136" s="10" t="str">
        <f ca="1">IF(Y136,COUNTIF($Y$2:$Y136,TRUE),"")</f>
        <v/>
      </c>
      <c r="AA136" s="10" t="str">
        <f t="shared" ca="1" si="35"/>
        <v/>
      </c>
      <c r="AB136" s="10" t="str">
        <f t="shared" ca="1" si="36"/>
        <v/>
      </c>
      <c r="AC136" s="10" t="str">
        <f t="shared" ca="1" si="37"/>
        <v/>
      </c>
      <c r="AD136" s="10" t="str">
        <f t="shared" ca="1" si="38"/>
        <v/>
      </c>
      <c r="AE136" s="10" t="str">
        <f t="shared" ca="1" si="39"/>
        <v/>
      </c>
      <c r="AF136" s="10" t="str">
        <f ca="1">IF(AND(Y136,AA136="ERREUR"),COUNTIF($AA$2:$AA136,"ERREUR"),"")</f>
        <v/>
      </c>
    </row>
    <row r="137" spans="23:32" ht="25" customHeight="1">
      <c r="W137" s="11">
        <f t="shared" ca="1" si="32"/>
        <v>46333</v>
      </c>
      <c r="X137" s="10" t="str">
        <f t="shared" ca="1" si="33"/>
        <v>07112026</v>
      </c>
      <c r="Y137" s="10" t="b">
        <f t="shared" ca="1" si="34"/>
        <v>0</v>
      </c>
      <c r="Z137" s="10" t="str">
        <f ca="1">IF(Y137,COUNTIF($Y$2:$Y137,TRUE),"")</f>
        <v/>
      </c>
      <c r="AA137" s="10" t="str">
        <f t="shared" ca="1" si="35"/>
        <v/>
      </c>
      <c r="AB137" s="10" t="str">
        <f t="shared" ca="1" si="36"/>
        <v/>
      </c>
      <c r="AC137" s="10" t="str">
        <f t="shared" ca="1" si="37"/>
        <v/>
      </c>
      <c r="AD137" s="10" t="str">
        <f t="shared" ca="1" si="38"/>
        <v/>
      </c>
      <c r="AE137" s="10" t="str">
        <f t="shared" ca="1" si="39"/>
        <v/>
      </c>
      <c r="AF137" s="10" t="str">
        <f ca="1">IF(AND(Y137,AA137="ERREUR"),COUNTIF($AA$2:$AA137,"ERREUR"),"")</f>
        <v/>
      </c>
    </row>
    <row r="138" spans="23:32" ht="25" customHeight="1">
      <c r="W138" s="11">
        <f t="shared" ca="1" si="32"/>
        <v>46332</v>
      </c>
      <c r="X138" s="10" t="str">
        <f t="shared" ca="1" si="33"/>
        <v>06112026</v>
      </c>
      <c r="Y138" s="10" t="b">
        <f t="shared" ca="1" si="34"/>
        <v>0</v>
      </c>
      <c r="Z138" s="10" t="str">
        <f ca="1">IF(Y138,COUNTIF($Y$2:$Y138,TRUE),"")</f>
        <v/>
      </c>
      <c r="AA138" s="10" t="str">
        <f t="shared" ca="1" si="35"/>
        <v/>
      </c>
      <c r="AB138" s="10" t="str">
        <f t="shared" ca="1" si="36"/>
        <v/>
      </c>
      <c r="AC138" s="10" t="str">
        <f t="shared" ca="1" si="37"/>
        <v/>
      </c>
      <c r="AD138" s="10" t="str">
        <f t="shared" ca="1" si="38"/>
        <v/>
      </c>
      <c r="AE138" s="10" t="str">
        <f t="shared" ca="1" si="39"/>
        <v/>
      </c>
      <c r="AF138" s="10" t="str">
        <f ca="1">IF(AND(Y138,AA138="ERREUR"),COUNTIF($AA$2:$AA138,"ERREUR"),"")</f>
        <v/>
      </c>
    </row>
    <row r="139" spans="23:32" ht="25" customHeight="1">
      <c r="W139" s="11">
        <f t="shared" ca="1" si="32"/>
        <v>46331</v>
      </c>
      <c r="X139" s="10" t="str">
        <f t="shared" ca="1" si="33"/>
        <v>05112026</v>
      </c>
      <c r="Y139" s="10" t="b">
        <f t="shared" ca="1" si="34"/>
        <v>0</v>
      </c>
      <c r="Z139" s="10" t="str">
        <f ca="1">IF(Y139,COUNTIF($Y$2:$Y139,TRUE),"")</f>
        <v/>
      </c>
      <c r="AA139" s="10" t="str">
        <f t="shared" ca="1" si="35"/>
        <v/>
      </c>
      <c r="AB139" s="10" t="str">
        <f t="shared" ca="1" si="36"/>
        <v/>
      </c>
      <c r="AC139" s="10" t="str">
        <f t="shared" ca="1" si="37"/>
        <v/>
      </c>
      <c r="AD139" s="10" t="str">
        <f t="shared" ca="1" si="38"/>
        <v/>
      </c>
      <c r="AE139" s="10" t="str">
        <f t="shared" ca="1" si="39"/>
        <v/>
      </c>
      <c r="AF139" s="10" t="str">
        <f ca="1">IF(AND(Y139,AA139="ERREUR"),COUNTIF($AA$2:$AA139,"ERREUR"),"")</f>
        <v/>
      </c>
    </row>
    <row r="140" spans="23:32" ht="25" customHeight="1">
      <c r="W140" s="11">
        <f t="shared" ca="1" si="32"/>
        <v>46330</v>
      </c>
      <c r="X140" s="10" t="str">
        <f t="shared" ca="1" si="33"/>
        <v>04112026</v>
      </c>
      <c r="Y140" s="10" t="b">
        <f t="shared" ca="1" si="34"/>
        <v>0</v>
      </c>
      <c r="Z140" s="10" t="str">
        <f ca="1">IF(Y140,COUNTIF($Y$2:$Y140,TRUE),"")</f>
        <v/>
      </c>
      <c r="AA140" s="10" t="str">
        <f t="shared" ca="1" si="35"/>
        <v/>
      </c>
      <c r="AB140" s="10" t="str">
        <f t="shared" ca="1" si="36"/>
        <v/>
      </c>
      <c r="AC140" s="10" t="str">
        <f t="shared" ca="1" si="37"/>
        <v/>
      </c>
      <c r="AD140" s="10" t="str">
        <f t="shared" ca="1" si="38"/>
        <v/>
      </c>
      <c r="AE140" s="10" t="str">
        <f t="shared" ca="1" si="39"/>
        <v/>
      </c>
      <c r="AF140" s="10" t="str">
        <f ca="1">IF(AND(Y140,AA140="ERREUR"),COUNTIF($AA$2:$AA140,"ERREUR"),"")</f>
        <v/>
      </c>
    </row>
    <row r="141" spans="23:32" ht="25" customHeight="1">
      <c r="W141" s="11">
        <f t="shared" ca="1" si="32"/>
        <v>46329</v>
      </c>
      <c r="X141" s="10" t="str">
        <f t="shared" ca="1" si="33"/>
        <v>03112026</v>
      </c>
      <c r="Y141" s="10" t="b">
        <f t="shared" ca="1" si="34"/>
        <v>0</v>
      </c>
      <c r="Z141" s="10" t="str">
        <f ca="1">IF(Y141,COUNTIF($Y$2:$Y141,TRUE),"")</f>
        <v/>
      </c>
      <c r="AA141" s="10" t="str">
        <f t="shared" ca="1" si="35"/>
        <v/>
      </c>
      <c r="AB141" s="10" t="str">
        <f t="shared" ca="1" si="36"/>
        <v/>
      </c>
      <c r="AC141" s="10" t="str">
        <f t="shared" ca="1" si="37"/>
        <v/>
      </c>
      <c r="AD141" s="10" t="str">
        <f t="shared" ca="1" si="38"/>
        <v/>
      </c>
      <c r="AE141" s="10" t="str">
        <f t="shared" ca="1" si="39"/>
        <v/>
      </c>
      <c r="AF141" s="10" t="str">
        <f ca="1">IF(AND(Y141,AA141="ERREUR"),COUNTIF($AA$2:$AA141,"ERREUR"),"")</f>
        <v/>
      </c>
    </row>
    <row r="142" spans="23:32" ht="25" customHeight="1">
      <c r="W142" s="11">
        <f t="shared" ca="1" si="32"/>
        <v>46328</v>
      </c>
      <c r="X142" s="10" t="str">
        <f t="shared" ca="1" si="33"/>
        <v>02112026</v>
      </c>
      <c r="Y142" s="10" t="b">
        <f t="shared" ca="1" si="34"/>
        <v>0</v>
      </c>
      <c r="Z142" s="10" t="str">
        <f ca="1">IF(Y142,COUNTIF($Y$2:$Y142,TRUE),"")</f>
        <v/>
      </c>
      <c r="AA142" s="10" t="str">
        <f t="shared" ca="1" si="35"/>
        <v/>
      </c>
      <c r="AB142" s="10" t="str">
        <f t="shared" ca="1" si="36"/>
        <v/>
      </c>
      <c r="AC142" s="10" t="str">
        <f t="shared" ca="1" si="37"/>
        <v/>
      </c>
      <c r="AD142" s="10" t="str">
        <f t="shared" ca="1" si="38"/>
        <v/>
      </c>
      <c r="AE142" s="10" t="str">
        <f t="shared" ca="1" si="39"/>
        <v/>
      </c>
      <c r="AF142" s="10" t="str">
        <f ca="1">IF(AND(Y142,AA142="ERREUR"),COUNTIF($AA$2:$AA142,"ERREUR"),"")</f>
        <v/>
      </c>
    </row>
    <row r="143" spans="23:32" ht="25" customHeight="1">
      <c r="W143" s="11">
        <f t="shared" ca="1" si="32"/>
        <v>46327</v>
      </c>
      <c r="X143" s="10" t="str">
        <f t="shared" ca="1" si="33"/>
        <v>01112026</v>
      </c>
      <c r="Y143" s="10" t="b">
        <f t="shared" ca="1" si="34"/>
        <v>0</v>
      </c>
      <c r="Z143" s="10" t="str">
        <f ca="1">IF(Y143,COUNTIF($Y$2:$Y143,TRUE),"")</f>
        <v/>
      </c>
      <c r="AA143" s="10" t="str">
        <f t="shared" ca="1" si="35"/>
        <v/>
      </c>
      <c r="AB143" s="10" t="str">
        <f t="shared" ca="1" si="36"/>
        <v/>
      </c>
      <c r="AC143" s="10" t="str">
        <f t="shared" ca="1" si="37"/>
        <v/>
      </c>
      <c r="AD143" s="10" t="str">
        <f t="shared" ca="1" si="38"/>
        <v/>
      </c>
      <c r="AE143" s="10" t="str">
        <f t="shared" ca="1" si="39"/>
        <v/>
      </c>
      <c r="AF143" s="10" t="str">
        <f ca="1">IF(AND(Y143,AA143="ERREUR"),COUNTIF($AA$2:$AA143,"ERREUR"),"")</f>
        <v/>
      </c>
    </row>
    <row r="144" spans="23:32" ht="25" customHeight="1">
      <c r="W144" s="11">
        <f t="shared" ca="1" si="32"/>
        <v>46326</v>
      </c>
      <c r="X144" s="10" t="str">
        <f t="shared" ca="1" si="33"/>
        <v>31102026</v>
      </c>
      <c r="Y144" s="10" t="b">
        <f t="shared" ca="1" si="34"/>
        <v>0</v>
      </c>
      <c r="Z144" s="10" t="str">
        <f ca="1">IF(Y144,COUNTIF($Y$2:$Y144,TRUE),"")</f>
        <v/>
      </c>
      <c r="AA144" s="10" t="str">
        <f t="shared" ca="1" si="35"/>
        <v/>
      </c>
      <c r="AB144" s="10" t="str">
        <f t="shared" ca="1" si="36"/>
        <v/>
      </c>
      <c r="AC144" s="10" t="str">
        <f t="shared" ca="1" si="37"/>
        <v/>
      </c>
      <c r="AD144" s="10" t="str">
        <f t="shared" ca="1" si="38"/>
        <v/>
      </c>
      <c r="AE144" s="10" t="str">
        <f t="shared" ca="1" si="39"/>
        <v/>
      </c>
      <c r="AF144" s="10" t="str">
        <f ca="1">IF(AND(Y144,AA144="ERREUR"),COUNTIF($AA$2:$AA144,"ERREUR"),"")</f>
        <v/>
      </c>
    </row>
    <row r="145" spans="23:32" ht="25" customHeight="1">
      <c r="W145" s="11">
        <f t="shared" ca="1" si="32"/>
        <v>46325</v>
      </c>
      <c r="X145" s="10" t="str">
        <f t="shared" ca="1" si="33"/>
        <v>30102026</v>
      </c>
      <c r="Y145" s="10" t="b">
        <f t="shared" ca="1" si="34"/>
        <v>0</v>
      </c>
      <c r="Z145" s="10" t="str">
        <f ca="1">IF(Y145,COUNTIF($Y$2:$Y145,TRUE),"")</f>
        <v/>
      </c>
      <c r="AA145" s="10" t="str">
        <f t="shared" ca="1" si="35"/>
        <v/>
      </c>
      <c r="AB145" s="10" t="str">
        <f t="shared" ca="1" si="36"/>
        <v/>
      </c>
      <c r="AC145" s="10" t="str">
        <f t="shared" ca="1" si="37"/>
        <v/>
      </c>
      <c r="AD145" s="10" t="str">
        <f t="shared" ca="1" si="38"/>
        <v/>
      </c>
      <c r="AE145" s="10" t="str">
        <f t="shared" ca="1" si="39"/>
        <v/>
      </c>
      <c r="AF145" s="10" t="str">
        <f ca="1">IF(AND(Y145,AA145="ERREUR"),COUNTIF($AA$2:$AA145,"ERREUR"),"")</f>
        <v/>
      </c>
    </row>
    <row r="146" spans="23:32" ht="25" customHeight="1">
      <c r="W146" s="11">
        <f t="shared" ca="1" si="32"/>
        <v>46324</v>
      </c>
      <c r="X146" s="10" t="str">
        <f t="shared" ca="1" si="33"/>
        <v>29102026</v>
      </c>
      <c r="Y146" s="10" t="b">
        <f t="shared" ca="1" si="34"/>
        <v>0</v>
      </c>
      <c r="Z146" s="10" t="str">
        <f ca="1">IF(Y146,COUNTIF($Y$2:$Y146,TRUE),"")</f>
        <v/>
      </c>
      <c r="AA146" s="10" t="str">
        <f t="shared" ca="1" si="35"/>
        <v/>
      </c>
      <c r="AB146" s="10" t="str">
        <f t="shared" ca="1" si="36"/>
        <v/>
      </c>
      <c r="AC146" s="10" t="str">
        <f t="shared" ca="1" si="37"/>
        <v/>
      </c>
      <c r="AD146" s="10" t="str">
        <f t="shared" ca="1" si="38"/>
        <v/>
      </c>
      <c r="AE146" s="10" t="str">
        <f t="shared" ca="1" si="39"/>
        <v/>
      </c>
      <c r="AF146" s="10" t="str">
        <f ca="1">IF(AND(Y146,AA146="ERREUR"),COUNTIF($AA$2:$AA146,"ERREUR"),"")</f>
        <v/>
      </c>
    </row>
    <row r="147" spans="23:32" ht="25" customHeight="1">
      <c r="W147" s="11">
        <f t="shared" ca="1" si="32"/>
        <v>46323</v>
      </c>
      <c r="X147" s="10" t="str">
        <f t="shared" ca="1" si="33"/>
        <v>28102026</v>
      </c>
      <c r="Y147" s="10" t="b">
        <f t="shared" ca="1" si="34"/>
        <v>0</v>
      </c>
      <c r="Z147" s="10" t="str">
        <f ca="1">IF(Y147,COUNTIF($Y$2:$Y147,TRUE),"")</f>
        <v/>
      </c>
      <c r="AA147" s="10" t="str">
        <f t="shared" ca="1" si="35"/>
        <v/>
      </c>
      <c r="AB147" s="10" t="str">
        <f t="shared" ca="1" si="36"/>
        <v/>
      </c>
      <c r="AC147" s="10" t="str">
        <f t="shared" ca="1" si="37"/>
        <v/>
      </c>
      <c r="AD147" s="10" t="str">
        <f t="shared" ca="1" si="38"/>
        <v/>
      </c>
      <c r="AE147" s="10" t="str">
        <f t="shared" ca="1" si="39"/>
        <v/>
      </c>
      <c r="AF147" s="10" t="str">
        <f ca="1">IF(AND(Y147,AA147="ERREUR"),COUNTIF($AA$2:$AA147,"ERREUR"),"")</f>
        <v/>
      </c>
    </row>
    <row r="148" spans="23:32" ht="25" customHeight="1">
      <c r="W148" s="11">
        <f t="shared" ca="1" si="32"/>
        <v>46322</v>
      </c>
      <c r="X148" s="10" t="str">
        <f t="shared" ca="1" si="33"/>
        <v>27102026</v>
      </c>
      <c r="Y148" s="10" t="b">
        <f t="shared" ca="1" si="34"/>
        <v>0</v>
      </c>
      <c r="Z148" s="10" t="str">
        <f ca="1">IF(Y148,COUNTIF($Y$2:$Y148,TRUE),"")</f>
        <v/>
      </c>
      <c r="AA148" s="10" t="str">
        <f t="shared" ca="1" si="35"/>
        <v/>
      </c>
      <c r="AB148" s="10" t="str">
        <f t="shared" ca="1" si="36"/>
        <v/>
      </c>
      <c r="AC148" s="10" t="str">
        <f t="shared" ca="1" si="37"/>
        <v/>
      </c>
      <c r="AD148" s="10" t="str">
        <f t="shared" ca="1" si="38"/>
        <v/>
      </c>
      <c r="AE148" s="10" t="str">
        <f t="shared" ca="1" si="39"/>
        <v/>
      </c>
      <c r="AF148" s="10" t="str">
        <f ca="1">IF(AND(Y148,AA148="ERREUR"),COUNTIF($AA$2:$AA148,"ERREUR"),"")</f>
        <v/>
      </c>
    </row>
    <row r="149" spans="23:32" ht="25" customHeight="1">
      <c r="W149" s="11">
        <f t="shared" ca="1" si="32"/>
        <v>46321</v>
      </c>
      <c r="X149" s="10" t="str">
        <f t="shared" ca="1" si="33"/>
        <v>26102026</v>
      </c>
      <c r="Y149" s="10" t="b">
        <f t="shared" ca="1" si="34"/>
        <v>0</v>
      </c>
      <c r="Z149" s="10" t="str">
        <f ca="1">IF(Y149,COUNTIF($Y$2:$Y149,TRUE),"")</f>
        <v/>
      </c>
      <c r="AA149" s="10" t="str">
        <f t="shared" ca="1" si="35"/>
        <v/>
      </c>
      <c r="AB149" s="10" t="str">
        <f t="shared" ca="1" si="36"/>
        <v/>
      </c>
      <c r="AC149" s="10" t="str">
        <f t="shared" ca="1" si="37"/>
        <v/>
      </c>
      <c r="AD149" s="10" t="str">
        <f t="shared" ca="1" si="38"/>
        <v/>
      </c>
      <c r="AE149" s="10" t="str">
        <f t="shared" ca="1" si="39"/>
        <v/>
      </c>
      <c r="AF149" s="10" t="str">
        <f ca="1">IF(AND(Y149,AA149="ERREUR"),COUNTIF($AA$2:$AA149,"ERREUR"),"")</f>
        <v/>
      </c>
    </row>
    <row r="150" spans="23:32" ht="25" customHeight="1">
      <c r="W150" s="11">
        <f t="shared" ca="1" si="32"/>
        <v>46320</v>
      </c>
      <c r="X150" s="10" t="str">
        <f t="shared" ca="1" si="33"/>
        <v>25102026</v>
      </c>
      <c r="Y150" s="10" t="b">
        <f t="shared" ca="1" si="34"/>
        <v>0</v>
      </c>
      <c r="Z150" s="10" t="str">
        <f ca="1">IF(Y150,COUNTIF($Y$2:$Y150,TRUE),"")</f>
        <v/>
      </c>
      <c r="AA150" s="10" t="str">
        <f t="shared" ca="1" si="35"/>
        <v/>
      </c>
      <c r="AB150" s="10" t="str">
        <f t="shared" ca="1" si="36"/>
        <v/>
      </c>
      <c r="AC150" s="10" t="str">
        <f t="shared" ca="1" si="37"/>
        <v/>
      </c>
      <c r="AD150" s="10" t="str">
        <f t="shared" ca="1" si="38"/>
        <v/>
      </c>
      <c r="AE150" s="10" t="str">
        <f t="shared" ca="1" si="39"/>
        <v/>
      </c>
      <c r="AF150" s="10" t="str">
        <f ca="1">IF(AND(Y150,AA150="ERREUR"),COUNTIF($AA$2:$AA150,"ERREUR"),"")</f>
        <v/>
      </c>
    </row>
    <row r="151" spans="23:32" ht="25" customHeight="1">
      <c r="W151" s="11">
        <f t="shared" ca="1" si="32"/>
        <v>46319</v>
      </c>
      <c r="X151" s="10" t="str">
        <f t="shared" ca="1" si="33"/>
        <v>24102026</v>
      </c>
      <c r="Y151" s="10" t="b">
        <f t="shared" ca="1" si="34"/>
        <v>0</v>
      </c>
      <c r="Z151" s="10" t="str">
        <f ca="1">IF(Y151,COUNTIF($Y$2:$Y151,TRUE),"")</f>
        <v/>
      </c>
      <c r="AA151" s="10" t="str">
        <f t="shared" ca="1" si="35"/>
        <v/>
      </c>
      <c r="AB151" s="10" t="str">
        <f t="shared" ca="1" si="36"/>
        <v/>
      </c>
      <c r="AC151" s="10" t="str">
        <f t="shared" ca="1" si="37"/>
        <v/>
      </c>
      <c r="AD151" s="10" t="str">
        <f t="shared" ca="1" si="38"/>
        <v/>
      </c>
      <c r="AE151" s="10" t="str">
        <f t="shared" ca="1" si="39"/>
        <v/>
      </c>
      <c r="AF151" s="10" t="str">
        <f ca="1">IF(AND(Y151,AA151="ERREUR"),COUNTIF($AA$2:$AA151,"ERREUR"),"")</f>
        <v/>
      </c>
    </row>
    <row r="152" spans="23:32" ht="25" customHeight="1">
      <c r="W152" s="11">
        <f t="shared" ca="1" si="32"/>
        <v>46318</v>
      </c>
      <c r="X152" s="10" t="str">
        <f t="shared" ca="1" si="33"/>
        <v>23102026</v>
      </c>
      <c r="Y152" s="10" t="b">
        <f t="shared" ca="1" si="34"/>
        <v>0</v>
      </c>
      <c r="Z152" s="10" t="str">
        <f ca="1">IF(Y152,COUNTIF($Y$2:$Y152,TRUE),"")</f>
        <v/>
      </c>
      <c r="AA152" s="10" t="str">
        <f t="shared" ca="1" si="35"/>
        <v/>
      </c>
      <c r="AB152" s="10" t="str">
        <f t="shared" ca="1" si="36"/>
        <v/>
      </c>
      <c r="AC152" s="10" t="str">
        <f t="shared" ca="1" si="37"/>
        <v/>
      </c>
      <c r="AD152" s="10" t="str">
        <f t="shared" ca="1" si="38"/>
        <v/>
      </c>
      <c r="AE152" s="10" t="str">
        <f t="shared" ca="1" si="39"/>
        <v/>
      </c>
      <c r="AF152" s="10" t="str">
        <f ca="1">IF(AND(Y152,AA152="ERREUR"),COUNTIF($AA$2:$AA152,"ERREUR"),"")</f>
        <v/>
      </c>
    </row>
    <row r="153" spans="23:32" ht="25" customHeight="1">
      <c r="W153" s="11">
        <f t="shared" ca="1" si="32"/>
        <v>46317</v>
      </c>
      <c r="X153" s="10" t="str">
        <f t="shared" ca="1" si="33"/>
        <v>22102026</v>
      </c>
      <c r="Y153" s="10" t="b">
        <f t="shared" ca="1" si="34"/>
        <v>0</v>
      </c>
      <c r="Z153" s="10" t="str">
        <f ca="1">IF(Y153,COUNTIF($Y$2:$Y153,TRUE),"")</f>
        <v/>
      </c>
      <c r="AA153" s="10" t="str">
        <f t="shared" ca="1" si="35"/>
        <v/>
      </c>
      <c r="AB153" s="10" t="str">
        <f t="shared" ca="1" si="36"/>
        <v/>
      </c>
      <c r="AC153" s="10" t="str">
        <f t="shared" ca="1" si="37"/>
        <v/>
      </c>
      <c r="AD153" s="10" t="str">
        <f t="shared" ca="1" si="38"/>
        <v/>
      </c>
      <c r="AE153" s="10" t="str">
        <f t="shared" ca="1" si="39"/>
        <v/>
      </c>
      <c r="AF153" s="10" t="str">
        <f ca="1">IF(AND(Y153,AA153="ERREUR"),COUNTIF($AA$2:$AA153,"ERREUR"),"")</f>
        <v/>
      </c>
    </row>
    <row r="154" spans="23:32" ht="25" customHeight="1">
      <c r="W154" s="11">
        <f t="shared" ca="1" si="32"/>
        <v>46316</v>
      </c>
      <c r="X154" s="10" t="str">
        <f t="shared" ca="1" si="33"/>
        <v>21102026</v>
      </c>
      <c r="Y154" s="10" t="b">
        <f t="shared" ca="1" si="34"/>
        <v>0</v>
      </c>
      <c r="Z154" s="10" t="str">
        <f ca="1">IF(Y154,COUNTIF($Y$2:$Y154,TRUE),"")</f>
        <v/>
      </c>
      <c r="AA154" s="10" t="str">
        <f t="shared" ca="1" si="35"/>
        <v/>
      </c>
      <c r="AB154" s="10" t="str">
        <f t="shared" ca="1" si="36"/>
        <v/>
      </c>
      <c r="AC154" s="10" t="str">
        <f t="shared" ca="1" si="37"/>
        <v/>
      </c>
      <c r="AD154" s="10" t="str">
        <f t="shared" ca="1" si="38"/>
        <v/>
      </c>
      <c r="AE154" s="10" t="str">
        <f t="shared" ca="1" si="39"/>
        <v/>
      </c>
      <c r="AF154" s="10" t="str">
        <f ca="1">IF(AND(Y154,AA154="ERREUR"),COUNTIF($AA$2:$AA154,"ERREUR"),"")</f>
        <v/>
      </c>
    </row>
    <row r="155" spans="23:32" ht="25" customHeight="1">
      <c r="W155" s="11">
        <f t="shared" ca="1" si="32"/>
        <v>46315</v>
      </c>
      <c r="X155" s="10" t="str">
        <f t="shared" ca="1" si="33"/>
        <v>20102026</v>
      </c>
      <c r="Y155" s="10" t="b">
        <f t="shared" ca="1" si="34"/>
        <v>0</v>
      </c>
      <c r="Z155" s="10" t="str">
        <f ca="1">IF(Y155,COUNTIF($Y$2:$Y155,TRUE),"")</f>
        <v/>
      </c>
      <c r="AA155" s="10" t="str">
        <f t="shared" ca="1" si="35"/>
        <v/>
      </c>
      <c r="AB155" s="10" t="str">
        <f t="shared" ca="1" si="36"/>
        <v/>
      </c>
      <c r="AC155" s="10" t="str">
        <f t="shared" ca="1" si="37"/>
        <v/>
      </c>
      <c r="AD155" s="10" t="str">
        <f t="shared" ca="1" si="38"/>
        <v/>
      </c>
      <c r="AE155" s="10" t="str">
        <f t="shared" ca="1" si="39"/>
        <v/>
      </c>
      <c r="AF155" s="10" t="str">
        <f ca="1">IF(AND(Y155,AA155="ERREUR"),COUNTIF($AA$2:$AA155,"ERREUR"),"")</f>
        <v/>
      </c>
    </row>
    <row r="156" spans="23:32" ht="25" customHeight="1">
      <c r="W156" s="11">
        <f t="shared" ca="1" si="32"/>
        <v>46314</v>
      </c>
      <c r="X156" s="10" t="str">
        <f t="shared" ca="1" si="33"/>
        <v>19102026</v>
      </c>
      <c r="Y156" s="10" t="b">
        <f t="shared" ca="1" si="34"/>
        <v>0</v>
      </c>
      <c r="Z156" s="10" t="str">
        <f ca="1">IF(Y156,COUNTIF($Y$2:$Y156,TRUE),"")</f>
        <v/>
      </c>
      <c r="AA156" s="10" t="str">
        <f t="shared" ca="1" si="35"/>
        <v/>
      </c>
      <c r="AB156" s="10" t="str">
        <f t="shared" ca="1" si="36"/>
        <v/>
      </c>
      <c r="AC156" s="10" t="str">
        <f t="shared" ca="1" si="37"/>
        <v/>
      </c>
      <c r="AD156" s="10" t="str">
        <f t="shared" ca="1" si="38"/>
        <v/>
      </c>
      <c r="AE156" s="10" t="str">
        <f t="shared" ca="1" si="39"/>
        <v/>
      </c>
      <c r="AF156" s="10" t="str">
        <f ca="1">IF(AND(Y156,AA156="ERREUR"),COUNTIF($AA$2:$AA156,"ERREUR"),"")</f>
        <v/>
      </c>
    </row>
    <row r="157" spans="23:32" ht="25" customHeight="1">
      <c r="W157" s="11">
        <f t="shared" ca="1" si="32"/>
        <v>46313</v>
      </c>
      <c r="X157" s="10" t="str">
        <f t="shared" ca="1" si="33"/>
        <v>18102026</v>
      </c>
      <c r="Y157" s="10" t="b">
        <f t="shared" ca="1" si="34"/>
        <v>0</v>
      </c>
      <c r="Z157" s="10" t="str">
        <f ca="1">IF(Y157,COUNTIF($Y$2:$Y157,TRUE),"")</f>
        <v/>
      </c>
      <c r="AA157" s="10" t="str">
        <f t="shared" ca="1" si="35"/>
        <v/>
      </c>
      <c r="AB157" s="10" t="str">
        <f t="shared" ca="1" si="36"/>
        <v/>
      </c>
      <c r="AC157" s="10" t="str">
        <f t="shared" ca="1" si="37"/>
        <v/>
      </c>
      <c r="AD157" s="10" t="str">
        <f t="shared" ca="1" si="38"/>
        <v/>
      </c>
      <c r="AE157" s="10" t="str">
        <f t="shared" ca="1" si="39"/>
        <v/>
      </c>
      <c r="AF157" s="10" t="str">
        <f ca="1">IF(AND(Y157,AA157="ERREUR"),COUNTIF($AA$2:$AA157,"ERREUR"),"")</f>
        <v/>
      </c>
    </row>
    <row r="158" spans="23:32" ht="25" customHeight="1">
      <c r="W158" s="11">
        <f t="shared" ca="1" si="32"/>
        <v>46312</v>
      </c>
      <c r="X158" s="10" t="str">
        <f t="shared" ca="1" si="33"/>
        <v>17102026</v>
      </c>
      <c r="Y158" s="10" t="b">
        <f t="shared" ca="1" si="34"/>
        <v>0</v>
      </c>
      <c r="Z158" s="10" t="str">
        <f ca="1">IF(Y158,COUNTIF($Y$2:$Y158,TRUE),"")</f>
        <v/>
      </c>
      <c r="AA158" s="10" t="str">
        <f t="shared" ca="1" si="35"/>
        <v/>
      </c>
      <c r="AB158" s="10" t="str">
        <f t="shared" ca="1" si="36"/>
        <v/>
      </c>
      <c r="AC158" s="10" t="str">
        <f t="shared" ca="1" si="37"/>
        <v/>
      </c>
      <c r="AD158" s="10" t="str">
        <f t="shared" ca="1" si="38"/>
        <v/>
      </c>
      <c r="AE158" s="10" t="str">
        <f t="shared" ca="1" si="39"/>
        <v/>
      </c>
      <c r="AF158" s="10" t="str">
        <f ca="1">IF(AND(Y158,AA158="ERREUR"),COUNTIF($AA$2:$AA158,"ERREUR"),"")</f>
        <v/>
      </c>
    </row>
    <row r="159" spans="23:32" ht="25" customHeight="1">
      <c r="W159" s="11">
        <f t="shared" ca="1" si="32"/>
        <v>46311</v>
      </c>
      <c r="X159" s="10" t="str">
        <f t="shared" ca="1" si="33"/>
        <v>16102026</v>
      </c>
      <c r="Y159" s="10" t="b">
        <f t="shared" ca="1" si="34"/>
        <v>0</v>
      </c>
      <c r="Z159" s="10" t="str">
        <f ca="1">IF(Y159,COUNTIF($Y$2:$Y159,TRUE),"")</f>
        <v/>
      </c>
      <c r="AA159" s="10" t="str">
        <f t="shared" ca="1" si="35"/>
        <v/>
      </c>
      <c r="AB159" s="10" t="str">
        <f t="shared" ca="1" si="36"/>
        <v/>
      </c>
      <c r="AC159" s="10" t="str">
        <f t="shared" ca="1" si="37"/>
        <v/>
      </c>
      <c r="AD159" s="10" t="str">
        <f t="shared" ca="1" si="38"/>
        <v/>
      </c>
      <c r="AE159" s="10" t="str">
        <f t="shared" ca="1" si="39"/>
        <v/>
      </c>
      <c r="AF159" s="10" t="str">
        <f ca="1">IF(AND(Y159,AA159="ERREUR"),COUNTIF($AA$2:$AA159,"ERREUR"),"")</f>
        <v/>
      </c>
    </row>
    <row r="160" spans="23:32" ht="25" customHeight="1">
      <c r="W160" s="11">
        <f t="shared" ca="1" si="32"/>
        <v>46310</v>
      </c>
      <c r="X160" s="10" t="str">
        <f t="shared" ca="1" si="33"/>
        <v>15102026</v>
      </c>
      <c r="Y160" s="10" t="b">
        <f t="shared" ca="1" si="34"/>
        <v>0</v>
      </c>
      <c r="Z160" s="10" t="str">
        <f ca="1">IF(Y160,COUNTIF($Y$2:$Y160,TRUE),"")</f>
        <v/>
      </c>
      <c r="AA160" s="10" t="str">
        <f t="shared" ca="1" si="35"/>
        <v/>
      </c>
      <c r="AB160" s="10" t="str">
        <f t="shared" ca="1" si="36"/>
        <v/>
      </c>
      <c r="AC160" s="10" t="str">
        <f t="shared" ca="1" si="37"/>
        <v/>
      </c>
      <c r="AD160" s="10" t="str">
        <f t="shared" ca="1" si="38"/>
        <v/>
      </c>
      <c r="AE160" s="10" t="str">
        <f t="shared" ca="1" si="39"/>
        <v/>
      </c>
      <c r="AF160" s="10" t="str">
        <f ca="1">IF(AND(Y160,AA160="ERREUR"),COUNTIF($AA$2:$AA160,"ERREUR"),"")</f>
        <v/>
      </c>
    </row>
    <row r="161" spans="23:32" ht="25" customHeight="1">
      <c r="W161" s="11">
        <f t="shared" ca="1" si="32"/>
        <v>46309</v>
      </c>
      <c r="X161" s="10" t="str">
        <f t="shared" ca="1" si="33"/>
        <v>14102026</v>
      </c>
      <c r="Y161" s="10" t="b">
        <f t="shared" ca="1" si="34"/>
        <v>0</v>
      </c>
      <c r="Z161" s="10" t="str">
        <f ca="1">IF(Y161,COUNTIF($Y$2:$Y161,TRUE),"")</f>
        <v/>
      </c>
      <c r="AA161" s="10" t="str">
        <f t="shared" ca="1" si="35"/>
        <v/>
      </c>
      <c r="AB161" s="10" t="str">
        <f t="shared" ca="1" si="36"/>
        <v/>
      </c>
      <c r="AC161" s="10" t="str">
        <f t="shared" ca="1" si="37"/>
        <v/>
      </c>
      <c r="AD161" s="10" t="str">
        <f t="shared" ca="1" si="38"/>
        <v/>
      </c>
      <c r="AE161" s="10" t="str">
        <f t="shared" ca="1" si="39"/>
        <v/>
      </c>
      <c r="AF161" s="10" t="str">
        <f ca="1">IF(AND(Y161,AA161="ERREUR"),COUNTIF($AA$2:$AA161,"ERREUR"),"")</f>
        <v/>
      </c>
    </row>
    <row r="162" spans="23:32" ht="25" customHeight="1">
      <c r="W162" s="11">
        <f t="shared" ca="1" si="32"/>
        <v>46308</v>
      </c>
      <c r="X162" s="10" t="str">
        <f t="shared" ca="1" si="33"/>
        <v>13102026</v>
      </c>
      <c r="Y162" s="10" t="b">
        <f t="shared" ca="1" si="34"/>
        <v>0</v>
      </c>
      <c r="Z162" s="10" t="str">
        <f ca="1">IF(Y162,COUNTIF($Y$2:$Y162,TRUE),"")</f>
        <v/>
      </c>
      <c r="AA162" s="10" t="str">
        <f t="shared" ca="1" si="35"/>
        <v/>
      </c>
      <c r="AB162" s="10" t="str">
        <f t="shared" ca="1" si="36"/>
        <v/>
      </c>
      <c r="AC162" s="10" t="str">
        <f t="shared" ca="1" si="37"/>
        <v/>
      </c>
      <c r="AD162" s="10" t="str">
        <f t="shared" ca="1" si="38"/>
        <v/>
      </c>
      <c r="AE162" s="10" t="str">
        <f t="shared" ca="1" si="39"/>
        <v/>
      </c>
      <c r="AF162" s="10" t="str">
        <f ca="1">IF(AND(Y162,AA162="ERREUR"),COUNTIF($AA$2:$AA162,"ERREUR"),"")</f>
        <v/>
      </c>
    </row>
    <row r="163" spans="23:32" ht="25" customHeight="1">
      <c r="W163" s="11">
        <f t="shared" ca="1" si="32"/>
        <v>46307</v>
      </c>
      <c r="X163" s="10" t="str">
        <f t="shared" ca="1" si="33"/>
        <v>12102026</v>
      </c>
      <c r="Y163" s="10" t="b">
        <f t="shared" ca="1" si="34"/>
        <v>0</v>
      </c>
      <c r="Z163" s="10" t="str">
        <f ca="1">IF(Y163,COUNTIF($Y$2:$Y163,TRUE),"")</f>
        <v/>
      </c>
      <c r="AA163" s="10" t="str">
        <f t="shared" ca="1" si="35"/>
        <v/>
      </c>
      <c r="AB163" s="10" t="str">
        <f t="shared" ca="1" si="36"/>
        <v/>
      </c>
      <c r="AC163" s="10" t="str">
        <f t="shared" ca="1" si="37"/>
        <v/>
      </c>
      <c r="AD163" s="10" t="str">
        <f t="shared" ca="1" si="38"/>
        <v/>
      </c>
      <c r="AE163" s="10" t="str">
        <f t="shared" ca="1" si="39"/>
        <v/>
      </c>
      <c r="AF163" s="10" t="str">
        <f ca="1">IF(AND(Y163,AA163="ERREUR"),COUNTIF($AA$2:$AA163,"ERREUR"),"")</f>
        <v/>
      </c>
    </row>
    <row r="164" spans="23:32" ht="25" customHeight="1">
      <c r="W164" s="11">
        <f t="shared" ca="1" si="32"/>
        <v>46306</v>
      </c>
      <c r="X164" s="10" t="str">
        <f t="shared" ca="1" si="33"/>
        <v>11102026</v>
      </c>
      <c r="Y164" s="10" t="b">
        <f t="shared" ca="1" si="34"/>
        <v>0</v>
      </c>
      <c r="Z164" s="10" t="str">
        <f ca="1">IF(Y164,COUNTIF($Y$2:$Y164,TRUE),"")</f>
        <v/>
      </c>
      <c r="AA164" s="10" t="str">
        <f t="shared" ca="1" si="35"/>
        <v/>
      </c>
      <c r="AB164" s="10" t="str">
        <f t="shared" ca="1" si="36"/>
        <v/>
      </c>
      <c r="AC164" s="10" t="str">
        <f t="shared" ca="1" si="37"/>
        <v/>
      </c>
      <c r="AD164" s="10" t="str">
        <f t="shared" ca="1" si="38"/>
        <v/>
      </c>
      <c r="AE164" s="10" t="str">
        <f t="shared" ca="1" si="39"/>
        <v/>
      </c>
      <c r="AF164" s="10" t="str">
        <f ca="1">IF(AND(Y164,AA164="ERREUR"),COUNTIF($AA$2:$AA164,"ERREUR"),"")</f>
        <v/>
      </c>
    </row>
    <row r="165" spans="23:32" ht="25" customHeight="1">
      <c r="W165" s="11">
        <f t="shared" ca="1" si="32"/>
        <v>46305</v>
      </c>
      <c r="X165" s="10" t="str">
        <f t="shared" ca="1" si="33"/>
        <v>10102026</v>
      </c>
      <c r="Y165" s="10" t="b">
        <f t="shared" ca="1" si="34"/>
        <v>0</v>
      </c>
      <c r="Z165" s="10" t="str">
        <f ca="1">IF(Y165,COUNTIF($Y$2:$Y165,TRUE),"")</f>
        <v/>
      </c>
      <c r="AA165" s="10" t="str">
        <f t="shared" ca="1" si="35"/>
        <v/>
      </c>
      <c r="AB165" s="10" t="str">
        <f t="shared" ca="1" si="36"/>
        <v/>
      </c>
      <c r="AC165" s="10" t="str">
        <f t="shared" ca="1" si="37"/>
        <v/>
      </c>
      <c r="AD165" s="10" t="str">
        <f t="shared" ca="1" si="38"/>
        <v/>
      </c>
      <c r="AE165" s="10" t="str">
        <f t="shared" ca="1" si="39"/>
        <v/>
      </c>
      <c r="AF165" s="10" t="str">
        <f ca="1">IF(AND(Y165,AA165="ERREUR"),COUNTIF($AA$2:$AA165,"ERREUR"),"")</f>
        <v/>
      </c>
    </row>
    <row r="166" spans="23:32" ht="25" customHeight="1">
      <c r="W166" s="11">
        <f t="shared" ca="1" si="32"/>
        <v>46304</v>
      </c>
      <c r="X166" s="10" t="str">
        <f t="shared" ca="1" si="33"/>
        <v>09102026</v>
      </c>
      <c r="Y166" s="10" t="b">
        <f t="shared" ca="1" si="34"/>
        <v>0</v>
      </c>
      <c r="Z166" s="10" t="str">
        <f ca="1">IF(Y166,COUNTIF($Y$2:$Y166,TRUE),"")</f>
        <v/>
      </c>
      <c r="AA166" s="10" t="str">
        <f t="shared" ca="1" si="35"/>
        <v/>
      </c>
      <c r="AB166" s="10" t="str">
        <f t="shared" ca="1" si="36"/>
        <v/>
      </c>
      <c r="AC166" s="10" t="str">
        <f t="shared" ca="1" si="37"/>
        <v/>
      </c>
      <c r="AD166" s="10" t="str">
        <f t="shared" ca="1" si="38"/>
        <v/>
      </c>
      <c r="AE166" s="10" t="str">
        <f t="shared" ca="1" si="39"/>
        <v/>
      </c>
      <c r="AF166" s="10" t="str">
        <f ca="1">IF(AND(Y166,AA166="ERREUR"),COUNTIF($AA$2:$AA166,"ERREUR"),"")</f>
        <v/>
      </c>
    </row>
    <row r="167" spans="23:32" ht="25" customHeight="1">
      <c r="W167" s="11">
        <f t="shared" ca="1" si="32"/>
        <v>46303</v>
      </c>
      <c r="X167" s="10" t="str">
        <f t="shared" ca="1" si="33"/>
        <v>08102026</v>
      </c>
      <c r="Y167" s="10" t="b">
        <f t="shared" ca="1" si="34"/>
        <v>0</v>
      </c>
      <c r="Z167" s="10" t="str">
        <f ca="1">IF(Y167,COUNTIF($Y$2:$Y167,TRUE),"")</f>
        <v/>
      </c>
      <c r="AA167" s="10" t="str">
        <f t="shared" ca="1" si="35"/>
        <v/>
      </c>
      <c r="AB167" s="10" t="str">
        <f t="shared" ca="1" si="36"/>
        <v/>
      </c>
      <c r="AC167" s="10" t="str">
        <f t="shared" ca="1" si="37"/>
        <v/>
      </c>
      <c r="AD167" s="10" t="str">
        <f t="shared" ca="1" si="38"/>
        <v/>
      </c>
      <c r="AE167" s="10" t="str">
        <f t="shared" ca="1" si="39"/>
        <v/>
      </c>
      <c r="AF167" s="10" t="str">
        <f ca="1">IF(AND(Y167,AA167="ERREUR"),COUNTIF($AA$2:$AA167,"ERREUR"),"")</f>
        <v/>
      </c>
    </row>
    <row r="168" spans="23:32" ht="25" customHeight="1">
      <c r="W168" s="11">
        <f t="shared" ca="1" si="32"/>
        <v>46302</v>
      </c>
      <c r="X168" s="10" t="str">
        <f t="shared" ca="1" si="33"/>
        <v>07102026</v>
      </c>
      <c r="Y168" s="10" t="b">
        <f t="shared" ca="1" si="34"/>
        <v>0</v>
      </c>
      <c r="Z168" s="10" t="str">
        <f ca="1">IF(Y168,COUNTIF($Y$2:$Y168,TRUE),"")</f>
        <v/>
      </c>
      <c r="AA168" s="10" t="str">
        <f t="shared" ca="1" si="35"/>
        <v/>
      </c>
      <c r="AB168" s="10" t="str">
        <f t="shared" ca="1" si="36"/>
        <v/>
      </c>
      <c r="AC168" s="10" t="str">
        <f t="shared" ca="1" si="37"/>
        <v/>
      </c>
      <c r="AD168" s="10" t="str">
        <f t="shared" ca="1" si="38"/>
        <v/>
      </c>
      <c r="AE168" s="10" t="str">
        <f t="shared" ca="1" si="39"/>
        <v/>
      </c>
      <c r="AF168" s="10" t="str">
        <f ca="1">IF(AND(Y168,AA168="ERREUR"),COUNTIF($AA$2:$AA168,"ERREUR"),"")</f>
        <v/>
      </c>
    </row>
    <row r="169" spans="23:32" ht="25" customHeight="1">
      <c r="W169" s="11">
        <f t="shared" ca="1" si="32"/>
        <v>46301</v>
      </c>
      <c r="X169" s="10" t="str">
        <f t="shared" ca="1" si="33"/>
        <v>06102026</v>
      </c>
      <c r="Y169" s="10" t="b">
        <f t="shared" ca="1" si="34"/>
        <v>0</v>
      </c>
      <c r="Z169" s="10" t="str">
        <f ca="1">IF(Y169,COUNTIF($Y$2:$Y169,TRUE),"")</f>
        <v/>
      </c>
      <c r="AA169" s="10" t="str">
        <f t="shared" ca="1" si="35"/>
        <v/>
      </c>
      <c r="AB169" s="10" t="str">
        <f t="shared" ca="1" si="36"/>
        <v/>
      </c>
      <c r="AC169" s="10" t="str">
        <f t="shared" ca="1" si="37"/>
        <v/>
      </c>
      <c r="AD169" s="10" t="str">
        <f t="shared" ca="1" si="38"/>
        <v/>
      </c>
      <c r="AE169" s="10" t="str">
        <f t="shared" ca="1" si="39"/>
        <v/>
      </c>
      <c r="AF169" s="10" t="str">
        <f ca="1">IF(AND(Y169,AA169="ERREUR"),COUNTIF($AA$2:$AA169,"ERREUR"),"")</f>
        <v/>
      </c>
    </row>
    <row r="170" spans="23:32" ht="25" customHeight="1">
      <c r="W170" s="11">
        <f t="shared" ca="1" si="32"/>
        <v>46300</v>
      </c>
      <c r="X170" s="10" t="str">
        <f t="shared" ca="1" si="33"/>
        <v>05102026</v>
      </c>
      <c r="Y170" s="10" t="b">
        <f t="shared" ca="1" si="34"/>
        <v>0</v>
      </c>
      <c r="Z170" s="10" t="str">
        <f ca="1">IF(Y170,COUNTIF($Y$2:$Y170,TRUE),"")</f>
        <v/>
      </c>
      <c r="AA170" s="10" t="str">
        <f t="shared" ca="1" si="35"/>
        <v/>
      </c>
      <c r="AB170" s="10" t="str">
        <f t="shared" ca="1" si="36"/>
        <v/>
      </c>
      <c r="AC170" s="10" t="str">
        <f t="shared" ca="1" si="37"/>
        <v/>
      </c>
      <c r="AD170" s="10" t="str">
        <f t="shared" ca="1" si="38"/>
        <v/>
      </c>
      <c r="AE170" s="10" t="str">
        <f t="shared" ca="1" si="39"/>
        <v/>
      </c>
      <c r="AF170" s="10" t="str">
        <f ca="1">IF(AND(Y170,AA170="ERREUR"),COUNTIF($AA$2:$AA170,"ERREUR"),"")</f>
        <v/>
      </c>
    </row>
    <row r="171" spans="23:32" ht="25" customHeight="1">
      <c r="W171" s="11">
        <f t="shared" ca="1" si="32"/>
        <v>46299</v>
      </c>
      <c r="X171" s="10" t="str">
        <f t="shared" ca="1" si="33"/>
        <v>04102026</v>
      </c>
      <c r="Y171" s="10" t="b">
        <f t="shared" ca="1" si="34"/>
        <v>0</v>
      </c>
      <c r="Z171" s="10" t="str">
        <f ca="1">IF(Y171,COUNTIF($Y$2:$Y171,TRUE),"")</f>
        <v/>
      </c>
      <c r="AA171" s="10" t="str">
        <f t="shared" ca="1" si="35"/>
        <v/>
      </c>
      <c r="AB171" s="10" t="str">
        <f t="shared" ca="1" si="36"/>
        <v/>
      </c>
      <c r="AC171" s="10" t="str">
        <f t="shared" ca="1" si="37"/>
        <v/>
      </c>
      <c r="AD171" s="10" t="str">
        <f t="shared" ca="1" si="38"/>
        <v/>
      </c>
      <c r="AE171" s="10" t="str">
        <f t="shared" ca="1" si="39"/>
        <v/>
      </c>
      <c r="AF171" s="10" t="str">
        <f ca="1">IF(AND(Y171,AA171="ERREUR"),COUNTIF($AA$2:$AA171,"ERREUR"),"")</f>
        <v/>
      </c>
    </row>
    <row r="172" spans="23:32" ht="25" customHeight="1">
      <c r="W172" s="11">
        <f t="shared" ca="1" si="32"/>
        <v>46298</v>
      </c>
      <c r="X172" s="10" t="str">
        <f t="shared" ca="1" si="33"/>
        <v>03102026</v>
      </c>
      <c r="Y172" s="10" t="b">
        <f t="shared" ca="1" si="34"/>
        <v>0</v>
      </c>
      <c r="Z172" s="10" t="str">
        <f ca="1">IF(Y172,COUNTIF($Y$2:$Y172,TRUE),"")</f>
        <v/>
      </c>
      <c r="AA172" s="10" t="str">
        <f t="shared" ca="1" si="35"/>
        <v/>
      </c>
      <c r="AB172" s="10" t="str">
        <f t="shared" ca="1" si="36"/>
        <v/>
      </c>
      <c r="AC172" s="10" t="str">
        <f t="shared" ca="1" si="37"/>
        <v/>
      </c>
      <c r="AD172" s="10" t="str">
        <f t="shared" ca="1" si="38"/>
        <v/>
      </c>
      <c r="AE172" s="10" t="str">
        <f t="shared" ca="1" si="39"/>
        <v/>
      </c>
      <c r="AF172" s="10" t="str">
        <f ca="1">IF(AND(Y172,AA172="ERREUR"),COUNTIF($AA$2:$AA172,"ERREUR"),"")</f>
        <v/>
      </c>
    </row>
    <row r="173" spans="23:32" ht="25" customHeight="1">
      <c r="W173" s="11">
        <f t="shared" ca="1" si="32"/>
        <v>46297</v>
      </c>
      <c r="X173" s="10" t="str">
        <f t="shared" ca="1" si="33"/>
        <v>02102026</v>
      </c>
      <c r="Y173" s="10" t="b">
        <f t="shared" ca="1" si="34"/>
        <v>0</v>
      </c>
      <c r="Z173" s="10" t="str">
        <f ca="1">IF(Y173,COUNTIF($Y$2:$Y173,TRUE),"")</f>
        <v/>
      </c>
      <c r="AA173" s="10" t="str">
        <f t="shared" ca="1" si="35"/>
        <v/>
      </c>
      <c r="AB173" s="10" t="str">
        <f t="shared" ca="1" si="36"/>
        <v/>
      </c>
      <c r="AC173" s="10" t="str">
        <f t="shared" ca="1" si="37"/>
        <v/>
      </c>
      <c r="AD173" s="10" t="str">
        <f t="shared" ca="1" si="38"/>
        <v/>
      </c>
      <c r="AE173" s="10" t="str">
        <f t="shared" ca="1" si="39"/>
        <v/>
      </c>
      <c r="AF173" s="10" t="str">
        <f ca="1">IF(AND(Y173,AA173="ERREUR"),COUNTIF($AA$2:$AA173,"ERREUR"),"")</f>
        <v/>
      </c>
    </row>
    <row r="174" spans="23:32" ht="25" customHeight="1">
      <c r="W174" s="11">
        <f t="shared" ca="1" si="32"/>
        <v>46296</v>
      </c>
      <c r="X174" s="10" t="str">
        <f t="shared" ca="1" si="33"/>
        <v>01102026</v>
      </c>
      <c r="Y174" s="10" t="b">
        <f t="shared" ca="1" si="34"/>
        <v>0</v>
      </c>
      <c r="Z174" s="10" t="str">
        <f ca="1">IF(Y174,COUNTIF($Y$2:$Y174,TRUE),"")</f>
        <v/>
      </c>
      <c r="AA174" s="10" t="str">
        <f t="shared" ca="1" si="35"/>
        <v/>
      </c>
      <c r="AB174" s="10" t="str">
        <f t="shared" ca="1" si="36"/>
        <v/>
      </c>
      <c r="AC174" s="10" t="str">
        <f t="shared" ca="1" si="37"/>
        <v/>
      </c>
      <c r="AD174" s="10" t="str">
        <f t="shared" ca="1" si="38"/>
        <v/>
      </c>
      <c r="AE174" s="10" t="str">
        <f t="shared" ca="1" si="39"/>
        <v/>
      </c>
      <c r="AF174" s="10" t="str">
        <f ca="1">IF(AND(Y174,AA174="ERREUR"),COUNTIF($AA$2:$AA174,"ERREUR"),"")</f>
        <v/>
      </c>
    </row>
    <row r="175" spans="23:32" ht="25" customHeight="1">
      <c r="W175" s="11">
        <f t="shared" ca="1" si="32"/>
        <v>46295</v>
      </c>
      <c r="X175" s="10" t="str">
        <f t="shared" ca="1" si="33"/>
        <v>30092026</v>
      </c>
      <c r="Y175" s="10" t="b">
        <f t="shared" ca="1" si="34"/>
        <v>0</v>
      </c>
      <c r="Z175" s="10" t="str">
        <f ca="1">IF(Y175,COUNTIF($Y$2:$Y175,TRUE),"")</f>
        <v/>
      </c>
      <c r="AA175" s="10" t="str">
        <f t="shared" ca="1" si="35"/>
        <v/>
      </c>
      <c r="AB175" s="10" t="str">
        <f t="shared" ca="1" si="36"/>
        <v/>
      </c>
      <c r="AC175" s="10" t="str">
        <f t="shared" ca="1" si="37"/>
        <v/>
      </c>
      <c r="AD175" s="10" t="str">
        <f t="shared" ca="1" si="38"/>
        <v/>
      </c>
      <c r="AE175" s="10" t="str">
        <f t="shared" ca="1" si="39"/>
        <v/>
      </c>
      <c r="AF175" s="10" t="str">
        <f ca="1">IF(AND(Y175,AA175="ERREUR"),COUNTIF($AA$2:$AA175,"ERREUR"),"")</f>
        <v/>
      </c>
    </row>
    <row r="176" spans="23:32" ht="25" customHeight="1">
      <c r="W176" s="11">
        <f t="shared" ca="1" si="32"/>
        <v>46294</v>
      </c>
      <c r="X176" s="10" t="str">
        <f t="shared" ca="1" si="33"/>
        <v>29092026</v>
      </c>
      <c r="Y176" s="10" t="b">
        <f t="shared" ca="1" si="34"/>
        <v>0</v>
      </c>
      <c r="Z176" s="10" t="str">
        <f ca="1">IF(Y176,COUNTIF($Y$2:$Y176,TRUE),"")</f>
        <v/>
      </c>
      <c r="AA176" s="10" t="str">
        <f t="shared" ca="1" si="35"/>
        <v/>
      </c>
      <c r="AB176" s="10" t="str">
        <f t="shared" ca="1" si="36"/>
        <v/>
      </c>
      <c r="AC176" s="10" t="str">
        <f t="shared" ca="1" si="37"/>
        <v/>
      </c>
      <c r="AD176" s="10" t="str">
        <f t="shared" ca="1" si="38"/>
        <v/>
      </c>
      <c r="AE176" s="10" t="str">
        <f t="shared" ca="1" si="39"/>
        <v/>
      </c>
      <c r="AF176" s="10" t="str">
        <f ca="1">IF(AND(Y176,AA176="ERREUR"),COUNTIF($AA$2:$AA176,"ERREUR"),"")</f>
        <v/>
      </c>
    </row>
    <row r="177" spans="23:32" ht="25" customHeight="1">
      <c r="W177" s="11">
        <f t="shared" ca="1" si="32"/>
        <v>46293</v>
      </c>
      <c r="X177" s="10" t="str">
        <f t="shared" ca="1" si="33"/>
        <v>28092026</v>
      </c>
      <c r="Y177" s="10" t="b">
        <f t="shared" ca="1" si="34"/>
        <v>0</v>
      </c>
      <c r="Z177" s="10" t="str">
        <f ca="1">IF(Y177,COUNTIF($Y$2:$Y177,TRUE),"")</f>
        <v/>
      </c>
      <c r="AA177" s="10" t="str">
        <f t="shared" ca="1" si="35"/>
        <v/>
      </c>
      <c r="AB177" s="10" t="str">
        <f t="shared" ca="1" si="36"/>
        <v/>
      </c>
      <c r="AC177" s="10" t="str">
        <f t="shared" ca="1" si="37"/>
        <v/>
      </c>
      <c r="AD177" s="10" t="str">
        <f t="shared" ca="1" si="38"/>
        <v/>
      </c>
      <c r="AE177" s="10" t="str">
        <f t="shared" ca="1" si="39"/>
        <v/>
      </c>
      <c r="AF177" s="10" t="str">
        <f ca="1">IF(AND(Y177,AA177="ERREUR"),COUNTIF($AA$2:$AA177,"ERREUR"),"")</f>
        <v/>
      </c>
    </row>
    <row r="178" spans="23:32" ht="25" customHeight="1">
      <c r="W178" s="11">
        <f t="shared" ca="1" si="32"/>
        <v>46292</v>
      </c>
      <c r="X178" s="10" t="str">
        <f t="shared" ca="1" si="33"/>
        <v>27092026</v>
      </c>
      <c r="Y178" s="10" t="b">
        <f t="shared" ca="1" si="34"/>
        <v>0</v>
      </c>
      <c r="Z178" s="10" t="str">
        <f ca="1">IF(Y178,COUNTIF($Y$2:$Y178,TRUE),"")</f>
        <v/>
      </c>
      <c r="AA178" s="10" t="str">
        <f t="shared" ca="1" si="35"/>
        <v/>
      </c>
      <c r="AB178" s="10" t="str">
        <f t="shared" ca="1" si="36"/>
        <v/>
      </c>
      <c r="AC178" s="10" t="str">
        <f t="shared" ca="1" si="37"/>
        <v/>
      </c>
      <c r="AD178" s="10" t="str">
        <f t="shared" ca="1" si="38"/>
        <v/>
      </c>
      <c r="AE178" s="10" t="str">
        <f t="shared" ca="1" si="39"/>
        <v/>
      </c>
      <c r="AF178" s="10" t="str">
        <f ca="1">IF(AND(Y178,AA178="ERREUR"),COUNTIF($AA$2:$AA178,"ERREUR"),"")</f>
        <v/>
      </c>
    </row>
    <row r="179" spans="23:32" ht="25" customHeight="1">
      <c r="W179" s="19">
        <f t="shared" ca="1" si="32"/>
        <v>46291</v>
      </c>
      <c r="X179" s="9" t="str">
        <f t="shared" ca="1" si="33"/>
        <v>26092026</v>
      </c>
      <c r="Y179" s="9" t="b">
        <f t="shared" ca="1" si="34"/>
        <v>0</v>
      </c>
      <c r="Z179" s="9" t="str">
        <f ca="1">IF(Y179,COUNTIF($Y$2:$Y179,TRUE),"")</f>
        <v/>
      </c>
      <c r="AA179" s="9" t="str">
        <f t="shared" ca="1" si="35"/>
        <v/>
      </c>
      <c r="AB179" s="9" t="str">
        <f t="shared" ca="1" si="36"/>
        <v/>
      </c>
      <c r="AC179" s="9" t="str">
        <f t="shared" ca="1" si="37"/>
        <v/>
      </c>
      <c r="AD179" s="9" t="str">
        <f t="shared" ca="1" si="38"/>
        <v/>
      </c>
      <c r="AE179" s="9" t="str">
        <f t="shared" ca="1" si="39"/>
        <v/>
      </c>
      <c r="AF179" s="9" t="str">
        <f ca="1">IF(AND(Y179,AA179="ERREUR"),COUNTIF($AA$2:$AA179,"ERREUR"),"")</f>
        <v/>
      </c>
    </row>
    <row r="180" spans="23:32" ht="25" customHeight="1">
      <c r="W180" s="19">
        <f t="shared" ca="1" si="32"/>
        <v>46290</v>
      </c>
      <c r="X180" s="9" t="str">
        <f t="shared" ca="1" si="33"/>
        <v>25092026</v>
      </c>
      <c r="Y180" s="9" t="b">
        <f t="shared" ca="1" si="34"/>
        <v>0</v>
      </c>
      <c r="Z180" s="9" t="str">
        <f ca="1">IF(Y180,COUNTIF($Y$2:$Y180,TRUE),"")</f>
        <v/>
      </c>
      <c r="AA180" s="9" t="str">
        <f t="shared" ca="1" si="35"/>
        <v/>
      </c>
      <c r="AB180" s="9" t="str">
        <f t="shared" ca="1" si="36"/>
        <v/>
      </c>
      <c r="AC180" s="9" t="str">
        <f t="shared" ca="1" si="37"/>
        <v/>
      </c>
      <c r="AD180" s="9" t="str">
        <f t="shared" ca="1" si="38"/>
        <v/>
      </c>
      <c r="AE180" s="9" t="str">
        <f t="shared" ca="1" si="39"/>
        <v/>
      </c>
      <c r="AF180" s="9" t="str">
        <f ca="1">IF(AND(Y180,AA180="ERREUR"),COUNTIF($AA$2:$AA180,"ERREUR"),"")</f>
        <v/>
      </c>
    </row>
    <row r="181" spans="23:32" ht="25" customHeight="1">
      <c r="W181" s="19">
        <f t="shared" ca="1" si="32"/>
        <v>46289</v>
      </c>
      <c r="X181" s="9" t="str">
        <f t="shared" ca="1" si="33"/>
        <v>24092026</v>
      </c>
      <c r="Y181" s="9" t="b">
        <f t="shared" ca="1" si="34"/>
        <v>0</v>
      </c>
      <c r="Z181" s="9" t="str">
        <f ca="1">IF(Y181,COUNTIF($Y$2:$Y181,TRUE),"")</f>
        <v/>
      </c>
      <c r="AA181" s="9" t="str">
        <f t="shared" ca="1" si="35"/>
        <v/>
      </c>
      <c r="AB181" s="9" t="str">
        <f t="shared" ca="1" si="36"/>
        <v/>
      </c>
      <c r="AC181" s="9" t="str">
        <f t="shared" ca="1" si="37"/>
        <v/>
      </c>
      <c r="AD181" s="9" t="str">
        <f t="shared" ca="1" si="38"/>
        <v/>
      </c>
      <c r="AE181" s="9" t="str">
        <f t="shared" ca="1" si="39"/>
        <v/>
      </c>
      <c r="AF181" s="9" t="str">
        <f ca="1">IF(AND(Y181,AA181="ERREUR"),COUNTIF($AA$2:$AA181,"ERREUR"),"")</f>
        <v/>
      </c>
    </row>
    <row r="182" spans="23:32" ht="25" customHeight="1">
      <c r="W182" s="19">
        <f t="shared" ca="1" si="32"/>
        <v>46288</v>
      </c>
      <c r="X182" s="9" t="str">
        <f t="shared" ca="1" si="33"/>
        <v>23092026</v>
      </c>
      <c r="Y182" s="9" t="b">
        <f t="shared" ca="1" si="34"/>
        <v>0</v>
      </c>
      <c r="Z182" s="9" t="str">
        <f ca="1">IF(Y182,COUNTIF($Y$2:$Y182,TRUE),"")</f>
        <v/>
      </c>
      <c r="AA182" s="9" t="str">
        <f t="shared" ca="1" si="35"/>
        <v/>
      </c>
      <c r="AB182" s="9" t="str">
        <f t="shared" ca="1" si="36"/>
        <v/>
      </c>
      <c r="AC182" s="9" t="str">
        <f t="shared" ca="1" si="37"/>
        <v/>
      </c>
      <c r="AD182" s="9" t="str">
        <f t="shared" ca="1" si="38"/>
        <v/>
      </c>
      <c r="AE182" s="9" t="str">
        <f t="shared" ca="1" si="39"/>
        <v/>
      </c>
      <c r="AF182" s="9" t="str">
        <f ca="1">IF(AND(Y182,AA182="ERREUR"),COUNTIF($AA$2:$AA182,"ERREUR"),"")</f>
        <v/>
      </c>
    </row>
    <row r="183" spans="23:32" ht="25" customHeight="1">
      <c r="W183" s="19">
        <f t="shared" ca="1" si="32"/>
        <v>46287</v>
      </c>
      <c r="X183" s="9" t="str">
        <f t="shared" ca="1" si="33"/>
        <v>22092026</v>
      </c>
      <c r="Y183" s="9" t="b">
        <f t="shared" ca="1" si="34"/>
        <v>0</v>
      </c>
      <c r="Z183" s="9" t="str">
        <f ca="1">IF(Y183,COUNTIF($Y$2:$Y183,TRUE),"")</f>
        <v/>
      </c>
      <c r="AA183" s="9" t="str">
        <f t="shared" ca="1" si="35"/>
        <v/>
      </c>
      <c r="AB183" s="9" t="str">
        <f t="shared" ca="1" si="36"/>
        <v/>
      </c>
      <c r="AC183" s="9" t="str">
        <f t="shared" ca="1" si="37"/>
        <v/>
      </c>
      <c r="AD183" s="9" t="str">
        <f t="shared" ca="1" si="38"/>
        <v/>
      </c>
      <c r="AE183" s="9" t="str">
        <f t="shared" ca="1" si="39"/>
        <v/>
      </c>
      <c r="AF183" s="9" t="str">
        <f ca="1">IF(AND(Y183,AA183="ERREUR"),COUNTIF($AA$2:$AA183,"ERREUR"),"")</f>
        <v/>
      </c>
    </row>
    <row r="184" spans="23:32" ht="25" customHeight="1">
      <c r="W184" s="19">
        <f t="shared" ca="1" si="32"/>
        <v>46286</v>
      </c>
      <c r="X184" s="9" t="str">
        <f t="shared" ca="1" si="33"/>
        <v>21092026</v>
      </c>
      <c r="Y184" s="9" t="b">
        <f t="shared" ca="1" si="34"/>
        <v>0</v>
      </c>
      <c r="Z184" s="9" t="str">
        <f ca="1">IF(Y184,COUNTIF($Y$2:$Y184,TRUE),"")</f>
        <v/>
      </c>
      <c r="AA184" s="9" t="str">
        <f t="shared" ca="1" si="35"/>
        <v/>
      </c>
      <c r="AB184" s="9" t="str">
        <f t="shared" ca="1" si="36"/>
        <v/>
      </c>
      <c r="AC184" s="9" t="str">
        <f t="shared" ca="1" si="37"/>
        <v/>
      </c>
      <c r="AD184" s="9" t="str">
        <f t="shared" ca="1" si="38"/>
        <v/>
      </c>
      <c r="AE184" s="9" t="str">
        <f t="shared" ca="1" si="39"/>
        <v/>
      </c>
      <c r="AF184" s="9" t="str">
        <f ca="1">IF(AND(Y184,AA184="ERREUR"),COUNTIF($AA$2:$AA184,"ERREUR"),"")</f>
        <v/>
      </c>
    </row>
    <row r="185" spans="23:32" ht="25" customHeight="1">
      <c r="W185" s="19">
        <f t="shared" ca="1" si="32"/>
        <v>46285</v>
      </c>
      <c r="X185" s="9" t="str">
        <f t="shared" ca="1" si="33"/>
        <v>20092026</v>
      </c>
      <c r="Y185" s="9" t="b">
        <f t="shared" ca="1" si="34"/>
        <v>0</v>
      </c>
      <c r="Z185" s="9" t="str">
        <f ca="1">IF(Y185,COUNTIF($Y$2:$Y185,TRUE),"")</f>
        <v/>
      </c>
      <c r="AA185" s="9" t="str">
        <f t="shared" ca="1" si="35"/>
        <v/>
      </c>
      <c r="AB185" s="9" t="str">
        <f t="shared" ca="1" si="36"/>
        <v/>
      </c>
      <c r="AC185" s="9" t="str">
        <f t="shared" ca="1" si="37"/>
        <v/>
      </c>
      <c r="AD185" s="9" t="str">
        <f t="shared" ca="1" si="38"/>
        <v/>
      </c>
      <c r="AE185" s="9" t="str">
        <f t="shared" ca="1" si="39"/>
        <v/>
      </c>
      <c r="AF185" s="9" t="str">
        <f ca="1">IF(AND(Y185,AA185="ERREUR"),COUNTIF($AA$2:$AA185,"ERREUR"),"")</f>
        <v/>
      </c>
    </row>
    <row r="186" spans="23:32" ht="25" customHeight="1">
      <c r="W186" s="19">
        <f t="shared" ca="1" si="32"/>
        <v>46284</v>
      </c>
      <c r="X186" s="9" t="str">
        <f t="shared" ca="1" si="33"/>
        <v>19092026</v>
      </c>
      <c r="Y186" s="9" t="b">
        <f t="shared" ca="1" si="34"/>
        <v>0</v>
      </c>
      <c r="Z186" s="9" t="str">
        <f ca="1">IF(Y186,COUNTIF($Y$2:$Y186,TRUE),"")</f>
        <v/>
      </c>
      <c r="AA186" s="9" t="str">
        <f t="shared" ca="1" si="35"/>
        <v/>
      </c>
      <c r="AB186" s="9" t="str">
        <f t="shared" ca="1" si="36"/>
        <v/>
      </c>
      <c r="AC186" s="9" t="str">
        <f t="shared" ca="1" si="37"/>
        <v/>
      </c>
      <c r="AD186" s="9" t="str">
        <f t="shared" ca="1" si="38"/>
        <v/>
      </c>
      <c r="AE186" s="9" t="str">
        <f t="shared" ca="1" si="39"/>
        <v/>
      </c>
      <c r="AF186" s="9" t="str">
        <f ca="1">IF(AND(Y186,AA186="ERREUR"),COUNTIF($AA$2:$AA186,"ERREUR"),"")</f>
        <v/>
      </c>
    </row>
    <row r="187" spans="23:32" ht="25" customHeight="1">
      <c r="W187" s="19">
        <f t="shared" ca="1" si="32"/>
        <v>46283</v>
      </c>
      <c r="X187" s="9" t="str">
        <f t="shared" ca="1" si="33"/>
        <v>18092026</v>
      </c>
      <c r="Y187" s="9" t="b">
        <f t="shared" ca="1" si="34"/>
        <v>0</v>
      </c>
      <c r="Z187" s="9" t="str">
        <f ca="1">IF(Y187,COUNTIF($Y$2:$Y187,TRUE),"")</f>
        <v/>
      </c>
      <c r="AA187" s="9" t="str">
        <f t="shared" ca="1" si="35"/>
        <v/>
      </c>
      <c r="AB187" s="9" t="str">
        <f t="shared" ca="1" si="36"/>
        <v/>
      </c>
      <c r="AC187" s="9" t="str">
        <f t="shared" ca="1" si="37"/>
        <v/>
      </c>
      <c r="AD187" s="9" t="str">
        <f t="shared" ca="1" si="38"/>
        <v/>
      </c>
      <c r="AE187" s="9" t="str">
        <f t="shared" ca="1" si="39"/>
        <v/>
      </c>
      <c r="AF187" s="9" t="str">
        <f ca="1">IF(AND(Y187,AA187="ERREUR"),COUNTIF($AA$2:$AA187,"ERREUR"),"")</f>
        <v/>
      </c>
    </row>
    <row r="188" spans="23:32" ht="25" customHeight="1">
      <c r="W188" s="19">
        <f t="shared" ca="1" si="32"/>
        <v>46282</v>
      </c>
      <c r="X188" s="9" t="str">
        <f t="shared" ca="1" si="33"/>
        <v>17092026</v>
      </c>
      <c r="Y188" s="9" t="b">
        <f t="shared" ca="1" si="34"/>
        <v>0</v>
      </c>
      <c r="Z188" s="9" t="str">
        <f ca="1">IF(Y188,COUNTIF($Y$2:$Y188,TRUE),"")</f>
        <v/>
      </c>
      <c r="AA188" s="9" t="str">
        <f t="shared" ca="1" si="35"/>
        <v/>
      </c>
      <c r="AB188" s="9" t="str">
        <f t="shared" ca="1" si="36"/>
        <v/>
      </c>
      <c r="AC188" s="9" t="str">
        <f t="shared" ca="1" si="37"/>
        <v/>
      </c>
      <c r="AD188" s="9" t="str">
        <f t="shared" ca="1" si="38"/>
        <v/>
      </c>
      <c r="AE188" s="9" t="str">
        <f t="shared" ca="1" si="39"/>
        <v/>
      </c>
      <c r="AF188" s="9" t="str">
        <f ca="1">IF(AND(Y188,AA188="ERREUR"),COUNTIF($AA$2:$AA188,"ERREUR"),"")</f>
        <v/>
      </c>
    </row>
    <row r="189" spans="23:32" ht="25" customHeight="1">
      <c r="W189" s="19">
        <f t="shared" ca="1" si="32"/>
        <v>46281</v>
      </c>
      <c r="X189" s="9" t="str">
        <f t="shared" ca="1" si="33"/>
        <v>16092026</v>
      </c>
      <c r="Y189" s="9" t="b">
        <f t="shared" ca="1" si="34"/>
        <v>0</v>
      </c>
      <c r="Z189" s="9" t="str">
        <f ca="1">IF(Y189,COUNTIF($Y$2:$Y189,TRUE),"")</f>
        <v/>
      </c>
      <c r="AA189" s="9" t="str">
        <f t="shared" ca="1" si="35"/>
        <v/>
      </c>
      <c r="AB189" s="9" t="str">
        <f t="shared" ca="1" si="36"/>
        <v/>
      </c>
      <c r="AC189" s="9" t="str">
        <f t="shared" ca="1" si="37"/>
        <v/>
      </c>
      <c r="AD189" s="9" t="str">
        <f t="shared" ca="1" si="38"/>
        <v/>
      </c>
      <c r="AE189" s="9" t="str">
        <f t="shared" ca="1" si="39"/>
        <v/>
      </c>
      <c r="AF189" s="9" t="str">
        <f ca="1">IF(AND(Y189,AA189="ERREUR"),COUNTIF($AA$2:$AA189,"ERREUR"),"")</f>
        <v/>
      </c>
    </row>
    <row r="190" spans="23:32" ht="25" customHeight="1">
      <c r="W190" s="19">
        <f t="shared" ca="1" si="32"/>
        <v>46280</v>
      </c>
      <c r="X190" s="9" t="str">
        <f t="shared" ca="1" si="33"/>
        <v>15092026</v>
      </c>
      <c r="Y190" s="9" t="b">
        <f t="shared" ca="1" si="34"/>
        <v>0</v>
      </c>
      <c r="Z190" s="9" t="str">
        <f ca="1">IF(Y190,COUNTIF($Y$2:$Y190,TRUE),"")</f>
        <v/>
      </c>
      <c r="AA190" s="9" t="str">
        <f t="shared" ca="1" si="35"/>
        <v/>
      </c>
      <c r="AB190" s="9" t="str">
        <f t="shared" ca="1" si="36"/>
        <v/>
      </c>
      <c r="AC190" s="9" t="str">
        <f t="shared" ca="1" si="37"/>
        <v/>
      </c>
      <c r="AD190" s="9" t="str">
        <f t="shared" ca="1" si="38"/>
        <v/>
      </c>
      <c r="AE190" s="9" t="str">
        <f t="shared" ca="1" si="39"/>
        <v/>
      </c>
      <c r="AF190" s="9" t="str">
        <f ca="1">IF(AND(Y190,AA190="ERREUR"),COUNTIF($AA$2:$AA190,"ERREUR"),"")</f>
        <v/>
      </c>
    </row>
    <row r="191" spans="23:32" ht="25" customHeight="1">
      <c r="W191" s="19">
        <f t="shared" ca="1" si="32"/>
        <v>46279</v>
      </c>
      <c r="X191" s="9" t="str">
        <f t="shared" ca="1" si="33"/>
        <v>14092026</v>
      </c>
      <c r="Y191" s="9" t="b">
        <f t="shared" ca="1" si="34"/>
        <v>0</v>
      </c>
      <c r="Z191" s="9" t="str">
        <f ca="1">IF(Y191,COUNTIF($Y$2:$Y191,TRUE),"")</f>
        <v/>
      </c>
      <c r="AA191" s="9" t="str">
        <f t="shared" ca="1" si="35"/>
        <v/>
      </c>
      <c r="AB191" s="9" t="str">
        <f t="shared" ca="1" si="36"/>
        <v/>
      </c>
      <c r="AC191" s="9" t="str">
        <f t="shared" ca="1" si="37"/>
        <v/>
      </c>
      <c r="AD191" s="9" t="str">
        <f t="shared" ca="1" si="38"/>
        <v/>
      </c>
      <c r="AE191" s="9" t="str">
        <f t="shared" ca="1" si="39"/>
        <v/>
      </c>
      <c r="AF191" s="9" t="str">
        <f ca="1">IF(AND(Y191,AA191="ERREUR"),COUNTIF($AA$2:$AA191,"ERREUR"),"")</f>
        <v/>
      </c>
    </row>
    <row r="192" spans="23:32" ht="25" customHeight="1">
      <c r="W192" s="19">
        <f t="shared" ca="1" si="32"/>
        <v>46278</v>
      </c>
      <c r="X192" s="9" t="str">
        <f t="shared" ca="1" si="33"/>
        <v>13092026</v>
      </c>
      <c r="Y192" s="9" t="b">
        <f t="shared" ca="1" si="34"/>
        <v>0</v>
      </c>
      <c r="Z192" s="9" t="str">
        <f ca="1">IF(Y192,COUNTIF($Y$2:$Y192,TRUE),"")</f>
        <v/>
      </c>
      <c r="AA192" s="9" t="str">
        <f t="shared" ca="1" si="35"/>
        <v/>
      </c>
      <c r="AB192" s="9" t="str">
        <f t="shared" ca="1" si="36"/>
        <v/>
      </c>
      <c r="AC192" s="9" t="str">
        <f t="shared" ca="1" si="37"/>
        <v/>
      </c>
      <c r="AD192" s="9" t="str">
        <f t="shared" ca="1" si="38"/>
        <v/>
      </c>
      <c r="AE192" s="9" t="str">
        <f t="shared" ca="1" si="39"/>
        <v/>
      </c>
      <c r="AF192" s="9" t="str">
        <f ca="1">IF(AND(Y192,AA192="ERREUR"),COUNTIF($AA$2:$AA192,"ERREUR"),"")</f>
        <v/>
      </c>
    </row>
    <row r="193" spans="23:32" ht="25" customHeight="1">
      <c r="W193" s="19">
        <f t="shared" ca="1" si="32"/>
        <v>46277</v>
      </c>
      <c r="X193" s="9" t="str">
        <f t="shared" ca="1" si="33"/>
        <v>12092026</v>
      </c>
      <c r="Y193" s="9" t="b">
        <f t="shared" ca="1" si="34"/>
        <v>0</v>
      </c>
      <c r="Z193" s="9" t="str">
        <f ca="1">IF(Y193,COUNTIF($Y$2:$Y193,TRUE),"")</f>
        <v/>
      </c>
      <c r="AA193" s="9" t="str">
        <f t="shared" ca="1" si="35"/>
        <v/>
      </c>
      <c r="AB193" s="9" t="str">
        <f t="shared" ca="1" si="36"/>
        <v/>
      </c>
      <c r="AC193" s="9" t="str">
        <f t="shared" ca="1" si="37"/>
        <v/>
      </c>
      <c r="AD193" s="9" t="str">
        <f t="shared" ca="1" si="38"/>
        <v/>
      </c>
      <c r="AE193" s="9" t="str">
        <f t="shared" ca="1" si="39"/>
        <v/>
      </c>
      <c r="AF193" s="9" t="str">
        <f ca="1">IF(AND(Y193,AA193="ERREUR"),COUNTIF($AA$2:$AA193,"ERREUR"),"")</f>
        <v/>
      </c>
    </row>
    <row r="194" spans="23:32" ht="25" customHeight="1">
      <c r="W194" s="19">
        <f t="shared" ref="W194:W257" ca="1" si="40">TODAY()+365-ROW()+2</f>
        <v>46276</v>
      </c>
      <c r="X194" s="9" t="str">
        <f t="shared" ref="X194:X257" ca="1" si="41">RIGHT("0"&amp;DAY(W194),2)&amp;RIGHT("0"&amp;MONTH(W194),2)&amp;YEAR(W194)</f>
        <v>11092026</v>
      </c>
      <c r="Y194" s="9" t="b">
        <f t="shared" ref="Y194:Y257" ca="1" si="42">IFERROR(INDIRECT(CHAR(39)&amp;X194&amp;CHAR(39)&amp;"!C3")="DATE DE CAISSE",FALSE)</f>
        <v>0</v>
      </c>
      <c r="Z194" s="9" t="str">
        <f ca="1">IF(Y194,COUNTIF($Y$2:$Y194,TRUE),"")</f>
        <v/>
      </c>
      <c r="AA194" s="9" t="str">
        <f t="shared" ref="AA194:AA257" ca="1" si="43">IF($Y194,IFERROR(IF(INDIRECT(CHAR(39)&amp;$X194&amp;CHAR(39)&amp;"!P3")="VIDE","NON SAISIE",INDIRECT(CHAR(39)&amp;$X194&amp;CHAR(39)&amp;"!P3")),""),"")</f>
        <v/>
      </c>
      <c r="AB194" s="9" t="str">
        <f t="shared" ref="AB194:AB257" ca="1" si="44">IF($Y194,IFERROR(INDIRECT(CHAR(39)&amp;$X194&amp;CHAR(39)&amp;"!M59"),""),"")</f>
        <v/>
      </c>
      <c r="AC194" s="9" t="str">
        <f t="shared" ref="AC194:AC257" ca="1" si="45">IF(Y194,IFERROR(INDIRECT(CHAR(39)&amp;X194&amp;CHAR(39)&amp;"!M3"),""),"")</f>
        <v/>
      </c>
      <c r="AD194" s="9" t="str">
        <f t="shared" ref="AD194:AD257" ca="1" si="46">IF(Y194,IFERROR(INDIRECT(CHAR(39)&amp;X194&amp;CHAR(39)&amp;"!M60"),""),"")</f>
        <v/>
      </c>
      <c r="AE194" s="9" t="str">
        <f t="shared" ref="AE194:AE257" ca="1" si="47">IF($Y194,IF($AA194="OK","RAS",IF($AA194="NON SAISIE","Non saisie",IF($AC194&lt;&gt;0,"Ecart de saisie",IF($AD194&lt;&gt;0,"Ecart de caisse",IF(IFERROR(COUNTIF(INDIRECT(CHAR(39)&amp;$X194&amp;CHAR(39)&amp;"!M11:M40"),"ERREUR"),0)&gt;0,"Lignes facture",IF(IFERROR(COUNTIF(INDIRECT(CHAR(39)&amp;$X194&amp;CHAR(39)&amp;"!N47:N50"),"&lt;&gt;OK"),0)&gt;0,"Controle banque","A verifier")))))),"")</f>
        <v/>
      </c>
      <c r="AF194" s="9" t="str">
        <f ca="1">IF(AND(Y194,AA194="ERREUR"),COUNTIF($AA$2:$AA194,"ERREUR"),"")</f>
        <v/>
      </c>
    </row>
    <row r="195" spans="23:32" ht="25" customHeight="1">
      <c r="W195" s="19">
        <f t="shared" ca="1" si="40"/>
        <v>46275</v>
      </c>
      <c r="X195" s="9" t="str">
        <f t="shared" ca="1" si="41"/>
        <v>10092026</v>
      </c>
      <c r="Y195" s="9" t="b">
        <f t="shared" ca="1" si="42"/>
        <v>0</v>
      </c>
      <c r="Z195" s="9" t="str">
        <f ca="1">IF(Y195,COUNTIF($Y$2:$Y195,TRUE),"")</f>
        <v/>
      </c>
      <c r="AA195" s="9" t="str">
        <f t="shared" ca="1" si="43"/>
        <v/>
      </c>
      <c r="AB195" s="9" t="str">
        <f t="shared" ca="1" si="44"/>
        <v/>
      </c>
      <c r="AC195" s="9" t="str">
        <f t="shared" ca="1" si="45"/>
        <v/>
      </c>
      <c r="AD195" s="9" t="str">
        <f t="shared" ca="1" si="46"/>
        <v/>
      </c>
      <c r="AE195" s="9" t="str">
        <f t="shared" ca="1" si="47"/>
        <v/>
      </c>
      <c r="AF195" s="9" t="str">
        <f ca="1">IF(AND(Y195,AA195="ERREUR"),COUNTIF($AA$2:$AA195,"ERREUR"),"")</f>
        <v/>
      </c>
    </row>
    <row r="196" spans="23:32" ht="25" customHeight="1">
      <c r="W196" s="19">
        <f t="shared" ca="1" si="40"/>
        <v>46274</v>
      </c>
      <c r="X196" s="9" t="str">
        <f t="shared" ca="1" si="41"/>
        <v>09092026</v>
      </c>
      <c r="Y196" s="9" t="b">
        <f t="shared" ca="1" si="42"/>
        <v>0</v>
      </c>
      <c r="Z196" s="9" t="str">
        <f ca="1">IF(Y196,COUNTIF($Y$2:$Y196,TRUE),"")</f>
        <v/>
      </c>
      <c r="AA196" s="9" t="str">
        <f t="shared" ca="1" si="43"/>
        <v/>
      </c>
      <c r="AB196" s="9" t="str">
        <f t="shared" ca="1" si="44"/>
        <v/>
      </c>
      <c r="AC196" s="9" t="str">
        <f t="shared" ca="1" si="45"/>
        <v/>
      </c>
      <c r="AD196" s="9" t="str">
        <f t="shared" ca="1" si="46"/>
        <v/>
      </c>
      <c r="AE196" s="9" t="str">
        <f t="shared" ca="1" si="47"/>
        <v/>
      </c>
      <c r="AF196" s="9" t="str">
        <f ca="1">IF(AND(Y196,AA196="ERREUR"),COUNTIF($AA$2:$AA196,"ERREUR"),"")</f>
        <v/>
      </c>
    </row>
    <row r="197" spans="23:32" ht="25" customHeight="1">
      <c r="W197" s="19">
        <f t="shared" ca="1" si="40"/>
        <v>46273</v>
      </c>
      <c r="X197" s="9" t="str">
        <f t="shared" ca="1" si="41"/>
        <v>08092026</v>
      </c>
      <c r="Y197" s="9" t="b">
        <f t="shared" ca="1" si="42"/>
        <v>0</v>
      </c>
      <c r="Z197" s="9" t="str">
        <f ca="1">IF(Y197,COUNTIF($Y$2:$Y197,TRUE),"")</f>
        <v/>
      </c>
      <c r="AA197" s="9" t="str">
        <f t="shared" ca="1" si="43"/>
        <v/>
      </c>
      <c r="AB197" s="9" t="str">
        <f t="shared" ca="1" si="44"/>
        <v/>
      </c>
      <c r="AC197" s="9" t="str">
        <f t="shared" ca="1" si="45"/>
        <v/>
      </c>
      <c r="AD197" s="9" t="str">
        <f t="shared" ca="1" si="46"/>
        <v/>
      </c>
      <c r="AE197" s="9" t="str">
        <f t="shared" ca="1" si="47"/>
        <v/>
      </c>
      <c r="AF197" s="9" t="str">
        <f ca="1">IF(AND(Y197,AA197="ERREUR"),COUNTIF($AA$2:$AA197,"ERREUR"),"")</f>
        <v/>
      </c>
    </row>
    <row r="198" spans="23:32" ht="25" customHeight="1">
      <c r="W198" s="19">
        <f t="shared" ca="1" si="40"/>
        <v>46272</v>
      </c>
      <c r="X198" s="9" t="str">
        <f t="shared" ca="1" si="41"/>
        <v>07092026</v>
      </c>
      <c r="Y198" s="9" t="b">
        <f t="shared" ca="1" si="42"/>
        <v>0</v>
      </c>
      <c r="Z198" s="9" t="str">
        <f ca="1">IF(Y198,COUNTIF($Y$2:$Y198,TRUE),"")</f>
        <v/>
      </c>
      <c r="AA198" s="9" t="str">
        <f t="shared" ca="1" si="43"/>
        <v/>
      </c>
      <c r="AB198" s="9" t="str">
        <f t="shared" ca="1" si="44"/>
        <v/>
      </c>
      <c r="AC198" s="9" t="str">
        <f t="shared" ca="1" si="45"/>
        <v/>
      </c>
      <c r="AD198" s="9" t="str">
        <f t="shared" ca="1" si="46"/>
        <v/>
      </c>
      <c r="AE198" s="9" t="str">
        <f t="shared" ca="1" si="47"/>
        <v/>
      </c>
      <c r="AF198" s="9" t="str">
        <f ca="1">IF(AND(Y198,AA198="ERREUR"),COUNTIF($AA$2:$AA198,"ERREUR"),"")</f>
        <v/>
      </c>
    </row>
    <row r="199" spans="23:32" ht="25" customHeight="1">
      <c r="W199" s="19">
        <f t="shared" ca="1" si="40"/>
        <v>46271</v>
      </c>
      <c r="X199" s="9" t="str">
        <f t="shared" ca="1" si="41"/>
        <v>06092026</v>
      </c>
      <c r="Y199" s="9" t="b">
        <f t="shared" ca="1" si="42"/>
        <v>0</v>
      </c>
      <c r="Z199" s="9" t="str">
        <f ca="1">IF(Y199,COUNTIF($Y$2:$Y199,TRUE),"")</f>
        <v/>
      </c>
      <c r="AA199" s="9" t="str">
        <f t="shared" ca="1" si="43"/>
        <v/>
      </c>
      <c r="AB199" s="9" t="str">
        <f t="shared" ca="1" si="44"/>
        <v/>
      </c>
      <c r="AC199" s="9" t="str">
        <f t="shared" ca="1" si="45"/>
        <v/>
      </c>
      <c r="AD199" s="9" t="str">
        <f t="shared" ca="1" si="46"/>
        <v/>
      </c>
      <c r="AE199" s="9" t="str">
        <f t="shared" ca="1" si="47"/>
        <v/>
      </c>
      <c r="AF199" s="9" t="str">
        <f ca="1">IF(AND(Y199,AA199="ERREUR"),COUNTIF($AA$2:$AA199,"ERREUR"),"")</f>
        <v/>
      </c>
    </row>
    <row r="200" spans="23:32" ht="25" customHeight="1">
      <c r="W200" s="19">
        <f t="shared" ca="1" si="40"/>
        <v>46270</v>
      </c>
      <c r="X200" s="9" t="str">
        <f t="shared" ca="1" si="41"/>
        <v>05092026</v>
      </c>
      <c r="Y200" s="9" t="b">
        <f t="shared" ca="1" si="42"/>
        <v>0</v>
      </c>
      <c r="Z200" s="9" t="str">
        <f ca="1">IF(Y200,COUNTIF($Y$2:$Y200,TRUE),"")</f>
        <v/>
      </c>
      <c r="AA200" s="9" t="str">
        <f t="shared" ca="1" si="43"/>
        <v/>
      </c>
      <c r="AB200" s="9" t="str">
        <f t="shared" ca="1" si="44"/>
        <v/>
      </c>
      <c r="AC200" s="9" t="str">
        <f t="shared" ca="1" si="45"/>
        <v/>
      </c>
      <c r="AD200" s="9" t="str">
        <f t="shared" ca="1" si="46"/>
        <v/>
      </c>
      <c r="AE200" s="9" t="str">
        <f t="shared" ca="1" si="47"/>
        <v/>
      </c>
      <c r="AF200" s="9" t="str">
        <f ca="1">IF(AND(Y200,AA200="ERREUR"),COUNTIF($AA$2:$AA200,"ERREUR"),"")</f>
        <v/>
      </c>
    </row>
    <row r="201" spans="23:32" ht="25" customHeight="1">
      <c r="W201" s="19">
        <f t="shared" ca="1" si="40"/>
        <v>46269</v>
      </c>
      <c r="X201" s="9" t="str">
        <f t="shared" ca="1" si="41"/>
        <v>04092026</v>
      </c>
      <c r="Y201" s="9" t="b">
        <f t="shared" ca="1" si="42"/>
        <v>0</v>
      </c>
      <c r="Z201" s="9" t="str">
        <f ca="1">IF(Y201,COUNTIF($Y$2:$Y201,TRUE),"")</f>
        <v/>
      </c>
      <c r="AA201" s="9" t="str">
        <f t="shared" ca="1" si="43"/>
        <v/>
      </c>
      <c r="AB201" s="9" t="str">
        <f t="shared" ca="1" si="44"/>
        <v/>
      </c>
      <c r="AC201" s="9" t="str">
        <f t="shared" ca="1" si="45"/>
        <v/>
      </c>
      <c r="AD201" s="9" t="str">
        <f t="shared" ca="1" si="46"/>
        <v/>
      </c>
      <c r="AE201" s="9" t="str">
        <f t="shared" ca="1" si="47"/>
        <v/>
      </c>
      <c r="AF201" s="9" t="str">
        <f ca="1">IF(AND(Y201,AA201="ERREUR"),COUNTIF($AA$2:$AA201,"ERREUR"),"")</f>
        <v/>
      </c>
    </row>
    <row r="202" spans="23:32" ht="25" customHeight="1">
      <c r="W202" s="19">
        <f t="shared" ca="1" si="40"/>
        <v>46268</v>
      </c>
      <c r="X202" s="9" t="str">
        <f t="shared" ca="1" si="41"/>
        <v>03092026</v>
      </c>
      <c r="Y202" s="9" t="b">
        <f t="shared" ca="1" si="42"/>
        <v>0</v>
      </c>
      <c r="Z202" s="9" t="str">
        <f ca="1">IF(Y202,COUNTIF($Y$2:$Y202,TRUE),"")</f>
        <v/>
      </c>
      <c r="AA202" s="9" t="str">
        <f t="shared" ca="1" si="43"/>
        <v/>
      </c>
      <c r="AB202" s="9" t="str">
        <f t="shared" ca="1" si="44"/>
        <v/>
      </c>
      <c r="AC202" s="9" t="str">
        <f t="shared" ca="1" si="45"/>
        <v/>
      </c>
      <c r="AD202" s="9" t="str">
        <f t="shared" ca="1" si="46"/>
        <v/>
      </c>
      <c r="AE202" s="9" t="str">
        <f t="shared" ca="1" si="47"/>
        <v/>
      </c>
      <c r="AF202" s="9" t="str">
        <f ca="1">IF(AND(Y202,AA202="ERREUR"),COUNTIF($AA$2:$AA202,"ERREUR"),"")</f>
        <v/>
      </c>
    </row>
    <row r="203" spans="23:32" ht="25" customHeight="1">
      <c r="W203" s="19">
        <f t="shared" ca="1" si="40"/>
        <v>46267</v>
      </c>
      <c r="X203" s="9" t="str">
        <f t="shared" ca="1" si="41"/>
        <v>02092026</v>
      </c>
      <c r="Y203" s="9" t="b">
        <f t="shared" ca="1" si="42"/>
        <v>0</v>
      </c>
      <c r="Z203" s="9" t="str">
        <f ca="1">IF(Y203,COUNTIF($Y$2:$Y203,TRUE),"")</f>
        <v/>
      </c>
      <c r="AA203" s="9" t="str">
        <f t="shared" ca="1" si="43"/>
        <v/>
      </c>
      <c r="AB203" s="9" t="str">
        <f t="shared" ca="1" si="44"/>
        <v/>
      </c>
      <c r="AC203" s="9" t="str">
        <f t="shared" ca="1" si="45"/>
        <v/>
      </c>
      <c r="AD203" s="9" t="str">
        <f t="shared" ca="1" si="46"/>
        <v/>
      </c>
      <c r="AE203" s="9" t="str">
        <f t="shared" ca="1" si="47"/>
        <v/>
      </c>
      <c r="AF203" s="9" t="str">
        <f ca="1">IF(AND(Y203,AA203="ERREUR"),COUNTIF($AA$2:$AA203,"ERREUR"),"")</f>
        <v/>
      </c>
    </row>
    <row r="204" spans="23:32" ht="25" customHeight="1">
      <c r="W204" s="19">
        <f t="shared" ca="1" si="40"/>
        <v>46266</v>
      </c>
      <c r="X204" s="9" t="str">
        <f t="shared" ca="1" si="41"/>
        <v>01092026</v>
      </c>
      <c r="Y204" s="9" t="b">
        <f t="shared" ca="1" si="42"/>
        <v>0</v>
      </c>
      <c r="Z204" s="9" t="str">
        <f ca="1">IF(Y204,COUNTIF($Y$2:$Y204,TRUE),"")</f>
        <v/>
      </c>
      <c r="AA204" s="9" t="str">
        <f t="shared" ca="1" si="43"/>
        <v/>
      </c>
      <c r="AB204" s="9" t="str">
        <f t="shared" ca="1" si="44"/>
        <v/>
      </c>
      <c r="AC204" s="9" t="str">
        <f t="shared" ca="1" si="45"/>
        <v/>
      </c>
      <c r="AD204" s="9" t="str">
        <f t="shared" ca="1" si="46"/>
        <v/>
      </c>
      <c r="AE204" s="9" t="str">
        <f t="shared" ca="1" si="47"/>
        <v/>
      </c>
      <c r="AF204" s="9" t="str">
        <f ca="1">IF(AND(Y204,AA204="ERREUR"),COUNTIF($AA$2:$AA204,"ERREUR"),"")</f>
        <v/>
      </c>
    </row>
    <row r="205" spans="23:32" ht="25" customHeight="1">
      <c r="W205" s="19">
        <f t="shared" ca="1" si="40"/>
        <v>46265</v>
      </c>
      <c r="X205" s="9" t="str">
        <f t="shared" ca="1" si="41"/>
        <v>31082026</v>
      </c>
      <c r="Y205" s="9" t="b">
        <f t="shared" ca="1" si="42"/>
        <v>0</v>
      </c>
      <c r="Z205" s="9" t="str">
        <f ca="1">IF(Y205,COUNTIF($Y$2:$Y205,TRUE),"")</f>
        <v/>
      </c>
      <c r="AA205" s="9" t="str">
        <f t="shared" ca="1" si="43"/>
        <v/>
      </c>
      <c r="AB205" s="9" t="str">
        <f t="shared" ca="1" si="44"/>
        <v/>
      </c>
      <c r="AC205" s="9" t="str">
        <f t="shared" ca="1" si="45"/>
        <v/>
      </c>
      <c r="AD205" s="9" t="str">
        <f t="shared" ca="1" si="46"/>
        <v/>
      </c>
      <c r="AE205" s="9" t="str">
        <f t="shared" ca="1" si="47"/>
        <v/>
      </c>
      <c r="AF205" s="9" t="str">
        <f ca="1">IF(AND(Y205,AA205="ERREUR"),COUNTIF($AA$2:$AA205,"ERREUR"),"")</f>
        <v/>
      </c>
    </row>
    <row r="206" spans="23:32" ht="25" customHeight="1">
      <c r="W206" s="19">
        <f t="shared" ca="1" si="40"/>
        <v>46264</v>
      </c>
      <c r="X206" s="9" t="str">
        <f t="shared" ca="1" si="41"/>
        <v>30082026</v>
      </c>
      <c r="Y206" s="9" t="b">
        <f t="shared" ca="1" si="42"/>
        <v>0</v>
      </c>
      <c r="Z206" s="9" t="str">
        <f ca="1">IF(Y206,COUNTIF($Y$2:$Y206,TRUE),"")</f>
        <v/>
      </c>
      <c r="AA206" s="9" t="str">
        <f t="shared" ca="1" si="43"/>
        <v/>
      </c>
      <c r="AB206" s="9" t="str">
        <f t="shared" ca="1" si="44"/>
        <v/>
      </c>
      <c r="AC206" s="9" t="str">
        <f t="shared" ca="1" si="45"/>
        <v/>
      </c>
      <c r="AD206" s="9" t="str">
        <f t="shared" ca="1" si="46"/>
        <v/>
      </c>
      <c r="AE206" s="9" t="str">
        <f t="shared" ca="1" si="47"/>
        <v/>
      </c>
      <c r="AF206" s="9" t="str">
        <f ca="1">IF(AND(Y206,AA206="ERREUR"),COUNTIF($AA$2:$AA206,"ERREUR"),"")</f>
        <v/>
      </c>
    </row>
    <row r="207" spans="23:32" ht="25" customHeight="1">
      <c r="W207" s="19">
        <f t="shared" ca="1" si="40"/>
        <v>46263</v>
      </c>
      <c r="X207" s="9" t="str">
        <f t="shared" ca="1" si="41"/>
        <v>29082026</v>
      </c>
      <c r="Y207" s="9" t="b">
        <f t="shared" ca="1" si="42"/>
        <v>0</v>
      </c>
      <c r="Z207" s="9" t="str">
        <f ca="1">IF(Y207,COUNTIF($Y$2:$Y207,TRUE),"")</f>
        <v/>
      </c>
      <c r="AA207" s="9" t="str">
        <f t="shared" ca="1" si="43"/>
        <v/>
      </c>
      <c r="AB207" s="9" t="str">
        <f t="shared" ca="1" si="44"/>
        <v/>
      </c>
      <c r="AC207" s="9" t="str">
        <f t="shared" ca="1" si="45"/>
        <v/>
      </c>
      <c r="AD207" s="9" t="str">
        <f t="shared" ca="1" si="46"/>
        <v/>
      </c>
      <c r="AE207" s="9" t="str">
        <f t="shared" ca="1" si="47"/>
        <v/>
      </c>
      <c r="AF207" s="9" t="str">
        <f ca="1">IF(AND(Y207,AA207="ERREUR"),COUNTIF($AA$2:$AA207,"ERREUR"),"")</f>
        <v/>
      </c>
    </row>
    <row r="208" spans="23:32" ht="25" customHeight="1">
      <c r="W208" s="19">
        <f t="shared" ca="1" si="40"/>
        <v>46262</v>
      </c>
      <c r="X208" s="9" t="str">
        <f t="shared" ca="1" si="41"/>
        <v>28082026</v>
      </c>
      <c r="Y208" s="9" t="b">
        <f t="shared" ca="1" si="42"/>
        <v>0</v>
      </c>
      <c r="Z208" s="9" t="str">
        <f ca="1">IF(Y208,COUNTIF($Y$2:$Y208,TRUE),"")</f>
        <v/>
      </c>
      <c r="AA208" s="9" t="str">
        <f t="shared" ca="1" si="43"/>
        <v/>
      </c>
      <c r="AB208" s="9" t="str">
        <f t="shared" ca="1" si="44"/>
        <v/>
      </c>
      <c r="AC208" s="9" t="str">
        <f t="shared" ca="1" si="45"/>
        <v/>
      </c>
      <c r="AD208" s="9" t="str">
        <f t="shared" ca="1" si="46"/>
        <v/>
      </c>
      <c r="AE208" s="9" t="str">
        <f t="shared" ca="1" si="47"/>
        <v/>
      </c>
      <c r="AF208" s="9" t="str">
        <f ca="1">IF(AND(Y208,AA208="ERREUR"),COUNTIF($AA$2:$AA208,"ERREUR"),"")</f>
        <v/>
      </c>
    </row>
    <row r="209" spans="23:32" ht="25" customHeight="1">
      <c r="W209" s="19">
        <f t="shared" ca="1" si="40"/>
        <v>46261</v>
      </c>
      <c r="X209" s="9" t="str">
        <f t="shared" ca="1" si="41"/>
        <v>27082026</v>
      </c>
      <c r="Y209" s="9" t="b">
        <f t="shared" ca="1" si="42"/>
        <v>0</v>
      </c>
      <c r="Z209" s="9" t="str">
        <f ca="1">IF(Y209,COUNTIF($Y$2:$Y209,TRUE),"")</f>
        <v/>
      </c>
      <c r="AA209" s="9" t="str">
        <f t="shared" ca="1" si="43"/>
        <v/>
      </c>
      <c r="AB209" s="9" t="str">
        <f t="shared" ca="1" si="44"/>
        <v/>
      </c>
      <c r="AC209" s="9" t="str">
        <f t="shared" ca="1" si="45"/>
        <v/>
      </c>
      <c r="AD209" s="9" t="str">
        <f t="shared" ca="1" si="46"/>
        <v/>
      </c>
      <c r="AE209" s="9" t="str">
        <f t="shared" ca="1" si="47"/>
        <v/>
      </c>
      <c r="AF209" s="9" t="str">
        <f ca="1">IF(AND(Y209,AA209="ERREUR"),COUNTIF($AA$2:$AA209,"ERREUR"),"")</f>
        <v/>
      </c>
    </row>
    <row r="210" spans="23:32" ht="25" customHeight="1">
      <c r="W210" s="19">
        <f t="shared" ca="1" si="40"/>
        <v>46260</v>
      </c>
      <c r="X210" s="9" t="str">
        <f t="shared" ca="1" si="41"/>
        <v>26082026</v>
      </c>
      <c r="Y210" s="9" t="b">
        <f t="shared" ca="1" si="42"/>
        <v>0</v>
      </c>
      <c r="Z210" s="9" t="str">
        <f ca="1">IF(Y210,COUNTIF($Y$2:$Y210,TRUE),"")</f>
        <v/>
      </c>
      <c r="AA210" s="9" t="str">
        <f t="shared" ca="1" si="43"/>
        <v/>
      </c>
      <c r="AB210" s="9" t="str">
        <f t="shared" ca="1" si="44"/>
        <v/>
      </c>
      <c r="AC210" s="9" t="str">
        <f t="shared" ca="1" si="45"/>
        <v/>
      </c>
      <c r="AD210" s="9" t="str">
        <f t="shared" ca="1" si="46"/>
        <v/>
      </c>
      <c r="AE210" s="9" t="str">
        <f t="shared" ca="1" si="47"/>
        <v/>
      </c>
      <c r="AF210" s="9" t="str">
        <f ca="1">IF(AND(Y210,AA210="ERREUR"),COUNTIF($AA$2:$AA210,"ERREUR"),"")</f>
        <v/>
      </c>
    </row>
    <row r="211" spans="23:32" ht="25" customHeight="1">
      <c r="W211" s="19">
        <f t="shared" ca="1" si="40"/>
        <v>46259</v>
      </c>
      <c r="X211" s="9" t="str">
        <f t="shared" ca="1" si="41"/>
        <v>25082026</v>
      </c>
      <c r="Y211" s="9" t="b">
        <f t="shared" ca="1" si="42"/>
        <v>0</v>
      </c>
      <c r="Z211" s="9" t="str">
        <f ca="1">IF(Y211,COUNTIF($Y$2:$Y211,TRUE),"")</f>
        <v/>
      </c>
      <c r="AA211" s="9" t="str">
        <f t="shared" ca="1" si="43"/>
        <v/>
      </c>
      <c r="AB211" s="9" t="str">
        <f t="shared" ca="1" si="44"/>
        <v/>
      </c>
      <c r="AC211" s="9" t="str">
        <f t="shared" ca="1" si="45"/>
        <v/>
      </c>
      <c r="AD211" s="9" t="str">
        <f t="shared" ca="1" si="46"/>
        <v/>
      </c>
      <c r="AE211" s="9" t="str">
        <f t="shared" ca="1" si="47"/>
        <v/>
      </c>
      <c r="AF211" s="9" t="str">
        <f ca="1">IF(AND(Y211,AA211="ERREUR"),COUNTIF($AA$2:$AA211,"ERREUR"),"")</f>
        <v/>
      </c>
    </row>
    <row r="212" spans="23:32" ht="25" customHeight="1">
      <c r="W212" s="19">
        <f t="shared" ca="1" si="40"/>
        <v>46258</v>
      </c>
      <c r="X212" s="9" t="str">
        <f t="shared" ca="1" si="41"/>
        <v>24082026</v>
      </c>
      <c r="Y212" s="9" t="b">
        <f t="shared" ca="1" si="42"/>
        <v>0</v>
      </c>
      <c r="Z212" s="9" t="str">
        <f ca="1">IF(Y212,COUNTIF($Y$2:$Y212,TRUE),"")</f>
        <v/>
      </c>
      <c r="AA212" s="9" t="str">
        <f t="shared" ca="1" si="43"/>
        <v/>
      </c>
      <c r="AB212" s="9" t="str">
        <f t="shared" ca="1" si="44"/>
        <v/>
      </c>
      <c r="AC212" s="9" t="str">
        <f t="shared" ca="1" si="45"/>
        <v/>
      </c>
      <c r="AD212" s="9" t="str">
        <f t="shared" ca="1" si="46"/>
        <v/>
      </c>
      <c r="AE212" s="9" t="str">
        <f t="shared" ca="1" si="47"/>
        <v/>
      </c>
      <c r="AF212" s="9" t="str">
        <f ca="1">IF(AND(Y212,AA212="ERREUR"),COUNTIF($AA$2:$AA212,"ERREUR"),"")</f>
        <v/>
      </c>
    </row>
    <row r="213" spans="23:32" ht="25" customHeight="1">
      <c r="W213" s="19">
        <f t="shared" ca="1" si="40"/>
        <v>46257</v>
      </c>
      <c r="X213" s="9" t="str">
        <f t="shared" ca="1" si="41"/>
        <v>23082026</v>
      </c>
      <c r="Y213" s="9" t="b">
        <f t="shared" ca="1" si="42"/>
        <v>0</v>
      </c>
      <c r="Z213" s="9" t="str">
        <f ca="1">IF(Y213,COUNTIF($Y$2:$Y213,TRUE),"")</f>
        <v/>
      </c>
      <c r="AA213" s="9" t="str">
        <f t="shared" ca="1" si="43"/>
        <v/>
      </c>
      <c r="AB213" s="9" t="str">
        <f t="shared" ca="1" si="44"/>
        <v/>
      </c>
      <c r="AC213" s="9" t="str">
        <f t="shared" ca="1" si="45"/>
        <v/>
      </c>
      <c r="AD213" s="9" t="str">
        <f t="shared" ca="1" si="46"/>
        <v/>
      </c>
      <c r="AE213" s="9" t="str">
        <f t="shared" ca="1" si="47"/>
        <v/>
      </c>
      <c r="AF213" s="9" t="str">
        <f ca="1">IF(AND(Y213,AA213="ERREUR"),COUNTIF($AA$2:$AA213,"ERREUR"),"")</f>
        <v/>
      </c>
    </row>
    <row r="214" spans="23:32" ht="25" customHeight="1">
      <c r="W214" s="19">
        <f t="shared" ca="1" si="40"/>
        <v>46256</v>
      </c>
      <c r="X214" s="9" t="str">
        <f t="shared" ca="1" si="41"/>
        <v>22082026</v>
      </c>
      <c r="Y214" s="9" t="b">
        <f t="shared" ca="1" si="42"/>
        <v>0</v>
      </c>
      <c r="Z214" s="9" t="str">
        <f ca="1">IF(Y214,COUNTIF($Y$2:$Y214,TRUE),"")</f>
        <v/>
      </c>
      <c r="AA214" s="9" t="str">
        <f t="shared" ca="1" si="43"/>
        <v/>
      </c>
      <c r="AB214" s="9" t="str">
        <f t="shared" ca="1" si="44"/>
        <v/>
      </c>
      <c r="AC214" s="9" t="str">
        <f t="shared" ca="1" si="45"/>
        <v/>
      </c>
      <c r="AD214" s="9" t="str">
        <f t="shared" ca="1" si="46"/>
        <v/>
      </c>
      <c r="AE214" s="9" t="str">
        <f t="shared" ca="1" si="47"/>
        <v/>
      </c>
      <c r="AF214" s="9" t="str">
        <f ca="1">IF(AND(Y214,AA214="ERREUR"),COUNTIF($AA$2:$AA214,"ERREUR"),"")</f>
        <v/>
      </c>
    </row>
    <row r="215" spans="23:32" ht="25" customHeight="1">
      <c r="W215" s="19">
        <f t="shared" ca="1" si="40"/>
        <v>46255</v>
      </c>
      <c r="X215" s="9" t="str">
        <f t="shared" ca="1" si="41"/>
        <v>21082026</v>
      </c>
      <c r="Y215" s="9" t="b">
        <f t="shared" ca="1" si="42"/>
        <v>0</v>
      </c>
      <c r="Z215" s="9" t="str">
        <f ca="1">IF(Y215,COUNTIF($Y$2:$Y215,TRUE),"")</f>
        <v/>
      </c>
      <c r="AA215" s="9" t="str">
        <f t="shared" ca="1" si="43"/>
        <v/>
      </c>
      <c r="AB215" s="9" t="str">
        <f t="shared" ca="1" si="44"/>
        <v/>
      </c>
      <c r="AC215" s="9" t="str">
        <f t="shared" ca="1" si="45"/>
        <v/>
      </c>
      <c r="AD215" s="9" t="str">
        <f t="shared" ca="1" si="46"/>
        <v/>
      </c>
      <c r="AE215" s="9" t="str">
        <f t="shared" ca="1" si="47"/>
        <v/>
      </c>
      <c r="AF215" s="9" t="str">
        <f ca="1">IF(AND(Y215,AA215="ERREUR"),COUNTIF($AA$2:$AA215,"ERREUR"),"")</f>
        <v/>
      </c>
    </row>
    <row r="216" spans="23:32" ht="25" customHeight="1">
      <c r="W216" s="19">
        <f t="shared" ca="1" si="40"/>
        <v>46254</v>
      </c>
      <c r="X216" s="9" t="str">
        <f t="shared" ca="1" si="41"/>
        <v>20082026</v>
      </c>
      <c r="Y216" s="9" t="b">
        <f t="shared" ca="1" si="42"/>
        <v>0</v>
      </c>
      <c r="Z216" s="9" t="str">
        <f ca="1">IF(Y216,COUNTIF($Y$2:$Y216,TRUE),"")</f>
        <v/>
      </c>
      <c r="AA216" s="9" t="str">
        <f t="shared" ca="1" si="43"/>
        <v/>
      </c>
      <c r="AB216" s="9" t="str">
        <f t="shared" ca="1" si="44"/>
        <v/>
      </c>
      <c r="AC216" s="9" t="str">
        <f t="shared" ca="1" si="45"/>
        <v/>
      </c>
      <c r="AD216" s="9" t="str">
        <f t="shared" ca="1" si="46"/>
        <v/>
      </c>
      <c r="AE216" s="9" t="str">
        <f t="shared" ca="1" si="47"/>
        <v/>
      </c>
      <c r="AF216" s="9" t="str">
        <f ca="1">IF(AND(Y216,AA216="ERREUR"),COUNTIF($AA$2:$AA216,"ERREUR"),"")</f>
        <v/>
      </c>
    </row>
    <row r="217" spans="23:32" ht="25" customHeight="1">
      <c r="W217" s="19">
        <f t="shared" ca="1" si="40"/>
        <v>46253</v>
      </c>
      <c r="X217" s="9" t="str">
        <f t="shared" ca="1" si="41"/>
        <v>19082026</v>
      </c>
      <c r="Y217" s="9" t="b">
        <f t="shared" ca="1" si="42"/>
        <v>0</v>
      </c>
      <c r="Z217" s="9" t="str">
        <f ca="1">IF(Y217,COUNTIF($Y$2:$Y217,TRUE),"")</f>
        <v/>
      </c>
      <c r="AA217" s="9" t="str">
        <f t="shared" ca="1" si="43"/>
        <v/>
      </c>
      <c r="AB217" s="9" t="str">
        <f t="shared" ca="1" si="44"/>
        <v/>
      </c>
      <c r="AC217" s="9" t="str">
        <f t="shared" ca="1" si="45"/>
        <v/>
      </c>
      <c r="AD217" s="9" t="str">
        <f t="shared" ca="1" si="46"/>
        <v/>
      </c>
      <c r="AE217" s="9" t="str">
        <f t="shared" ca="1" si="47"/>
        <v/>
      </c>
      <c r="AF217" s="9" t="str">
        <f ca="1">IF(AND(Y217,AA217="ERREUR"),COUNTIF($AA$2:$AA217,"ERREUR"),"")</f>
        <v/>
      </c>
    </row>
    <row r="218" spans="23:32" ht="25" customHeight="1">
      <c r="W218" s="19">
        <f t="shared" ca="1" si="40"/>
        <v>46252</v>
      </c>
      <c r="X218" s="9" t="str">
        <f t="shared" ca="1" si="41"/>
        <v>18082026</v>
      </c>
      <c r="Y218" s="9" t="b">
        <f t="shared" ca="1" si="42"/>
        <v>0</v>
      </c>
      <c r="Z218" s="9" t="str">
        <f ca="1">IF(Y218,COUNTIF($Y$2:$Y218,TRUE),"")</f>
        <v/>
      </c>
      <c r="AA218" s="9" t="str">
        <f t="shared" ca="1" si="43"/>
        <v/>
      </c>
      <c r="AB218" s="9" t="str">
        <f t="shared" ca="1" si="44"/>
        <v/>
      </c>
      <c r="AC218" s="9" t="str">
        <f t="shared" ca="1" si="45"/>
        <v/>
      </c>
      <c r="AD218" s="9" t="str">
        <f t="shared" ca="1" si="46"/>
        <v/>
      </c>
      <c r="AE218" s="9" t="str">
        <f t="shared" ca="1" si="47"/>
        <v/>
      </c>
      <c r="AF218" s="9" t="str">
        <f ca="1">IF(AND(Y218,AA218="ERREUR"),COUNTIF($AA$2:$AA218,"ERREUR"),"")</f>
        <v/>
      </c>
    </row>
    <row r="219" spans="23:32" ht="25" customHeight="1">
      <c r="W219" s="19">
        <f t="shared" ca="1" si="40"/>
        <v>46251</v>
      </c>
      <c r="X219" s="9" t="str">
        <f t="shared" ca="1" si="41"/>
        <v>17082026</v>
      </c>
      <c r="Y219" s="9" t="b">
        <f t="shared" ca="1" si="42"/>
        <v>0</v>
      </c>
      <c r="Z219" s="9" t="str">
        <f ca="1">IF(Y219,COUNTIF($Y$2:$Y219,TRUE),"")</f>
        <v/>
      </c>
      <c r="AA219" s="9" t="str">
        <f t="shared" ca="1" si="43"/>
        <v/>
      </c>
      <c r="AB219" s="9" t="str">
        <f t="shared" ca="1" si="44"/>
        <v/>
      </c>
      <c r="AC219" s="9" t="str">
        <f t="shared" ca="1" si="45"/>
        <v/>
      </c>
      <c r="AD219" s="9" t="str">
        <f t="shared" ca="1" si="46"/>
        <v/>
      </c>
      <c r="AE219" s="9" t="str">
        <f t="shared" ca="1" si="47"/>
        <v/>
      </c>
      <c r="AF219" s="9" t="str">
        <f ca="1">IF(AND(Y219,AA219="ERREUR"),COUNTIF($AA$2:$AA219,"ERREUR"),"")</f>
        <v/>
      </c>
    </row>
    <row r="220" spans="23:32" ht="25" customHeight="1">
      <c r="W220" s="19">
        <f t="shared" ca="1" si="40"/>
        <v>46250</v>
      </c>
      <c r="X220" s="9" t="str">
        <f t="shared" ca="1" si="41"/>
        <v>16082026</v>
      </c>
      <c r="Y220" s="9" t="b">
        <f t="shared" ca="1" si="42"/>
        <v>0</v>
      </c>
      <c r="Z220" s="9" t="str">
        <f ca="1">IF(Y220,COUNTIF($Y$2:$Y220,TRUE),"")</f>
        <v/>
      </c>
      <c r="AA220" s="9" t="str">
        <f t="shared" ca="1" si="43"/>
        <v/>
      </c>
      <c r="AB220" s="9" t="str">
        <f t="shared" ca="1" si="44"/>
        <v/>
      </c>
      <c r="AC220" s="9" t="str">
        <f t="shared" ca="1" si="45"/>
        <v/>
      </c>
      <c r="AD220" s="9" t="str">
        <f t="shared" ca="1" si="46"/>
        <v/>
      </c>
      <c r="AE220" s="9" t="str">
        <f t="shared" ca="1" si="47"/>
        <v/>
      </c>
      <c r="AF220" s="9" t="str">
        <f ca="1">IF(AND(Y220,AA220="ERREUR"),COUNTIF($AA$2:$AA220,"ERREUR"),"")</f>
        <v/>
      </c>
    </row>
    <row r="221" spans="23:32" ht="25" customHeight="1">
      <c r="W221" s="19">
        <f t="shared" ca="1" si="40"/>
        <v>46249</v>
      </c>
      <c r="X221" s="9" t="str">
        <f t="shared" ca="1" si="41"/>
        <v>15082026</v>
      </c>
      <c r="Y221" s="9" t="b">
        <f t="shared" ca="1" si="42"/>
        <v>0</v>
      </c>
      <c r="Z221" s="9" t="str">
        <f ca="1">IF(Y221,COUNTIF($Y$2:$Y221,TRUE),"")</f>
        <v/>
      </c>
      <c r="AA221" s="9" t="str">
        <f t="shared" ca="1" si="43"/>
        <v/>
      </c>
      <c r="AB221" s="9" t="str">
        <f t="shared" ca="1" si="44"/>
        <v/>
      </c>
      <c r="AC221" s="9" t="str">
        <f t="shared" ca="1" si="45"/>
        <v/>
      </c>
      <c r="AD221" s="9" t="str">
        <f t="shared" ca="1" si="46"/>
        <v/>
      </c>
      <c r="AE221" s="9" t="str">
        <f t="shared" ca="1" si="47"/>
        <v/>
      </c>
      <c r="AF221" s="9" t="str">
        <f ca="1">IF(AND(Y221,AA221="ERREUR"),COUNTIF($AA$2:$AA221,"ERREUR"),"")</f>
        <v/>
      </c>
    </row>
    <row r="222" spans="23:32" ht="25" customHeight="1">
      <c r="W222" s="19">
        <f t="shared" ca="1" si="40"/>
        <v>46248</v>
      </c>
      <c r="X222" s="9" t="str">
        <f t="shared" ca="1" si="41"/>
        <v>14082026</v>
      </c>
      <c r="Y222" s="9" t="b">
        <f t="shared" ca="1" si="42"/>
        <v>0</v>
      </c>
      <c r="Z222" s="9" t="str">
        <f ca="1">IF(Y222,COUNTIF($Y$2:$Y222,TRUE),"")</f>
        <v/>
      </c>
      <c r="AA222" s="9" t="str">
        <f t="shared" ca="1" si="43"/>
        <v/>
      </c>
      <c r="AB222" s="9" t="str">
        <f t="shared" ca="1" si="44"/>
        <v/>
      </c>
      <c r="AC222" s="9" t="str">
        <f t="shared" ca="1" si="45"/>
        <v/>
      </c>
      <c r="AD222" s="9" t="str">
        <f t="shared" ca="1" si="46"/>
        <v/>
      </c>
      <c r="AE222" s="9" t="str">
        <f t="shared" ca="1" si="47"/>
        <v/>
      </c>
      <c r="AF222" s="9" t="str">
        <f ca="1">IF(AND(Y222,AA222="ERREUR"),COUNTIF($AA$2:$AA222,"ERREUR"),"")</f>
        <v/>
      </c>
    </row>
    <row r="223" spans="23:32" ht="25" customHeight="1">
      <c r="W223" s="19">
        <f t="shared" ca="1" si="40"/>
        <v>46247</v>
      </c>
      <c r="X223" s="9" t="str">
        <f t="shared" ca="1" si="41"/>
        <v>13082026</v>
      </c>
      <c r="Y223" s="9" t="b">
        <f t="shared" ca="1" si="42"/>
        <v>0</v>
      </c>
      <c r="Z223" s="9" t="str">
        <f ca="1">IF(Y223,COUNTIF($Y$2:$Y223,TRUE),"")</f>
        <v/>
      </c>
      <c r="AA223" s="9" t="str">
        <f t="shared" ca="1" si="43"/>
        <v/>
      </c>
      <c r="AB223" s="9" t="str">
        <f t="shared" ca="1" si="44"/>
        <v/>
      </c>
      <c r="AC223" s="9" t="str">
        <f t="shared" ca="1" si="45"/>
        <v/>
      </c>
      <c r="AD223" s="9" t="str">
        <f t="shared" ca="1" si="46"/>
        <v/>
      </c>
      <c r="AE223" s="9" t="str">
        <f t="shared" ca="1" si="47"/>
        <v/>
      </c>
      <c r="AF223" s="9" t="str">
        <f ca="1">IF(AND(Y223,AA223="ERREUR"),COUNTIF($AA$2:$AA223,"ERREUR"),"")</f>
        <v/>
      </c>
    </row>
    <row r="224" spans="23:32" ht="25" customHeight="1">
      <c r="W224" s="19">
        <f t="shared" ca="1" si="40"/>
        <v>46246</v>
      </c>
      <c r="X224" s="9" t="str">
        <f t="shared" ca="1" si="41"/>
        <v>12082026</v>
      </c>
      <c r="Y224" s="9" t="b">
        <f t="shared" ca="1" si="42"/>
        <v>0</v>
      </c>
      <c r="Z224" s="9" t="str">
        <f ca="1">IF(Y224,COUNTIF($Y$2:$Y224,TRUE),"")</f>
        <v/>
      </c>
      <c r="AA224" s="9" t="str">
        <f t="shared" ca="1" si="43"/>
        <v/>
      </c>
      <c r="AB224" s="9" t="str">
        <f t="shared" ca="1" si="44"/>
        <v/>
      </c>
      <c r="AC224" s="9" t="str">
        <f t="shared" ca="1" si="45"/>
        <v/>
      </c>
      <c r="AD224" s="9" t="str">
        <f t="shared" ca="1" si="46"/>
        <v/>
      </c>
      <c r="AE224" s="9" t="str">
        <f t="shared" ca="1" si="47"/>
        <v/>
      </c>
      <c r="AF224" s="9" t="str">
        <f ca="1">IF(AND(Y224,AA224="ERREUR"),COUNTIF($AA$2:$AA224,"ERREUR"),"")</f>
        <v/>
      </c>
    </row>
    <row r="225" spans="23:32" ht="25" customHeight="1">
      <c r="W225" s="19">
        <f t="shared" ca="1" si="40"/>
        <v>46245</v>
      </c>
      <c r="X225" s="9" t="str">
        <f t="shared" ca="1" si="41"/>
        <v>11082026</v>
      </c>
      <c r="Y225" s="9" t="b">
        <f t="shared" ca="1" si="42"/>
        <v>0</v>
      </c>
      <c r="Z225" s="9" t="str">
        <f ca="1">IF(Y225,COUNTIF($Y$2:$Y225,TRUE),"")</f>
        <v/>
      </c>
      <c r="AA225" s="9" t="str">
        <f t="shared" ca="1" si="43"/>
        <v/>
      </c>
      <c r="AB225" s="9" t="str">
        <f t="shared" ca="1" si="44"/>
        <v/>
      </c>
      <c r="AC225" s="9" t="str">
        <f t="shared" ca="1" si="45"/>
        <v/>
      </c>
      <c r="AD225" s="9" t="str">
        <f t="shared" ca="1" si="46"/>
        <v/>
      </c>
      <c r="AE225" s="9" t="str">
        <f t="shared" ca="1" si="47"/>
        <v/>
      </c>
      <c r="AF225" s="9" t="str">
        <f ca="1">IF(AND(Y225,AA225="ERREUR"),COUNTIF($AA$2:$AA225,"ERREUR"),"")</f>
        <v/>
      </c>
    </row>
    <row r="226" spans="23:32" ht="25" customHeight="1">
      <c r="W226" s="19">
        <f t="shared" ca="1" si="40"/>
        <v>46244</v>
      </c>
      <c r="X226" s="9" t="str">
        <f t="shared" ca="1" si="41"/>
        <v>10082026</v>
      </c>
      <c r="Y226" s="9" t="b">
        <f t="shared" ca="1" si="42"/>
        <v>0</v>
      </c>
      <c r="Z226" s="9" t="str">
        <f ca="1">IF(Y226,COUNTIF($Y$2:$Y226,TRUE),"")</f>
        <v/>
      </c>
      <c r="AA226" s="9" t="str">
        <f t="shared" ca="1" si="43"/>
        <v/>
      </c>
      <c r="AB226" s="9" t="str">
        <f t="shared" ca="1" si="44"/>
        <v/>
      </c>
      <c r="AC226" s="9" t="str">
        <f t="shared" ca="1" si="45"/>
        <v/>
      </c>
      <c r="AD226" s="9" t="str">
        <f t="shared" ca="1" si="46"/>
        <v/>
      </c>
      <c r="AE226" s="9" t="str">
        <f t="shared" ca="1" si="47"/>
        <v/>
      </c>
      <c r="AF226" s="9" t="str">
        <f ca="1">IF(AND(Y226,AA226="ERREUR"),COUNTIF($AA$2:$AA226,"ERREUR"),"")</f>
        <v/>
      </c>
    </row>
    <row r="227" spans="23:32" ht="25" customHeight="1">
      <c r="W227" s="19">
        <f t="shared" ca="1" si="40"/>
        <v>46243</v>
      </c>
      <c r="X227" s="9" t="str">
        <f t="shared" ca="1" si="41"/>
        <v>09082026</v>
      </c>
      <c r="Y227" s="9" t="b">
        <f t="shared" ca="1" si="42"/>
        <v>0</v>
      </c>
      <c r="Z227" s="9" t="str">
        <f ca="1">IF(Y227,COUNTIF($Y$2:$Y227,TRUE),"")</f>
        <v/>
      </c>
      <c r="AA227" s="9" t="str">
        <f t="shared" ca="1" si="43"/>
        <v/>
      </c>
      <c r="AB227" s="9" t="str">
        <f t="shared" ca="1" si="44"/>
        <v/>
      </c>
      <c r="AC227" s="9" t="str">
        <f t="shared" ca="1" si="45"/>
        <v/>
      </c>
      <c r="AD227" s="9" t="str">
        <f t="shared" ca="1" si="46"/>
        <v/>
      </c>
      <c r="AE227" s="9" t="str">
        <f t="shared" ca="1" si="47"/>
        <v/>
      </c>
      <c r="AF227" s="9" t="str">
        <f ca="1">IF(AND(Y227,AA227="ERREUR"),COUNTIF($AA$2:$AA227,"ERREUR"),"")</f>
        <v/>
      </c>
    </row>
    <row r="228" spans="23:32" ht="25" customHeight="1">
      <c r="W228" s="19">
        <f t="shared" ca="1" si="40"/>
        <v>46242</v>
      </c>
      <c r="X228" s="9" t="str">
        <f t="shared" ca="1" si="41"/>
        <v>08082026</v>
      </c>
      <c r="Y228" s="9" t="b">
        <f t="shared" ca="1" si="42"/>
        <v>0</v>
      </c>
      <c r="Z228" s="9" t="str">
        <f ca="1">IF(Y228,COUNTIF($Y$2:$Y228,TRUE),"")</f>
        <v/>
      </c>
      <c r="AA228" s="9" t="str">
        <f t="shared" ca="1" si="43"/>
        <v/>
      </c>
      <c r="AB228" s="9" t="str">
        <f t="shared" ca="1" si="44"/>
        <v/>
      </c>
      <c r="AC228" s="9" t="str">
        <f t="shared" ca="1" si="45"/>
        <v/>
      </c>
      <c r="AD228" s="9" t="str">
        <f t="shared" ca="1" si="46"/>
        <v/>
      </c>
      <c r="AE228" s="9" t="str">
        <f t="shared" ca="1" si="47"/>
        <v/>
      </c>
      <c r="AF228" s="9" t="str">
        <f ca="1">IF(AND(Y228,AA228="ERREUR"),COUNTIF($AA$2:$AA228,"ERREUR"),"")</f>
        <v/>
      </c>
    </row>
    <row r="229" spans="23:32" ht="25" customHeight="1">
      <c r="W229" s="19">
        <f t="shared" ca="1" si="40"/>
        <v>46241</v>
      </c>
      <c r="X229" s="9" t="str">
        <f t="shared" ca="1" si="41"/>
        <v>07082026</v>
      </c>
      <c r="Y229" s="9" t="b">
        <f t="shared" ca="1" si="42"/>
        <v>0</v>
      </c>
      <c r="Z229" s="9" t="str">
        <f ca="1">IF(Y229,COUNTIF($Y$2:$Y229,TRUE),"")</f>
        <v/>
      </c>
      <c r="AA229" s="9" t="str">
        <f t="shared" ca="1" si="43"/>
        <v/>
      </c>
      <c r="AB229" s="9" t="str">
        <f t="shared" ca="1" si="44"/>
        <v/>
      </c>
      <c r="AC229" s="9" t="str">
        <f t="shared" ca="1" si="45"/>
        <v/>
      </c>
      <c r="AD229" s="9" t="str">
        <f t="shared" ca="1" si="46"/>
        <v/>
      </c>
      <c r="AE229" s="9" t="str">
        <f t="shared" ca="1" si="47"/>
        <v/>
      </c>
      <c r="AF229" s="9" t="str">
        <f ca="1">IF(AND(Y229,AA229="ERREUR"),COUNTIF($AA$2:$AA229,"ERREUR"),"")</f>
        <v/>
      </c>
    </row>
    <row r="230" spans="23:32" ht="25" customHeight="1">
      <c r="W230" s="19">
        <f t="shared" ca="1" si="40"/>
        <v>46240</v>
      </c>
      <c r="X230" s="9" t="str">
        <f t="shared" ca="1" si="41"/>
        <v>06082026</v>
      </c>
      <c r="Y230" s="9" t="b">
        <f t="shared" ca="1" si="42"/>
        <v>0</v>
      </c>
      <c r="Z230" s="9" t="str">
        <f ca="1">IF(Y230,COUNTIF($Y$2:$Y230,TRUE),"")</f>
        <v/>
      </c>
      <c r="AA230" s="9" t="str">
        <f t="shared" ca="1" si="43"/>
        <v/>
      </c>
      <c r="AB230" s="9" t="str">
        <f t="shared" ca="1" si="44"/>
        <v/>
      </c>
      <c r="AC230" s="9" t="str">
        <f t="shared" ca="1" si="45"/>
        <v/>
      </c>
      <c r="AD230" s="9" t="str">
        <f t="shared" ca="1" si="46"/>
        <v/>
      </c>
      <c r="AE230" s="9" t="str">
        <f t="shared" ca="1" si="47"/>
        <v/>
      </c>
      <c r="AF230" s="9" t="str">
        <f ca="1">IF(AND(Y230,AA230="ERREUR"),COUNTIF($AA$2:$AA230,"ERREUR"),"")</f>
        <v/>
      </c>
    </row>
    <row r="231" spans="23:32" ht="25" customHeight="1">
      <c r="W231" s="19">
        <f t="shared" ca="1" si="40"/>
        <v>46239</v>
      </c>
      <c r="X231" s="9" t="str">
        <f t="shared" ca="1" si="41"/>
        <v>05082026</v>
      </c>
      <c r="Y231" s="9" t="b">
        <f t="shared" ca="1" si="42"/>
        <v>0</v>
      </c>
      <c r="Z231" s="9" t="str">
        <f ca="1">IF(Y231,COUNTIF($Y$2:$Y231,TRUE),"")</f>
        <v/>
      </c>
      <c r="AA231" s="9" t="str">
        <f t="shared" ca="1" si="43"/>
        <v/>
      </c>
      <c r="AB231" s="9" t="str">
        <f t="shared" ca="1" si="44"/>
        <v/>
      </c>
      <c r="AC231" s="9" t="str">
        <f t="shared" ca="1" si="45"/>
        <v/>
      </c>
      <c r="AD231" s="9" t="str">
        <f t="shared" ca="1" si="46"/>
        <v/>
      </c>
      <c r="AE231" s="9" t="str">
        <f t="shared" ca="1" si="47"/>
        <v/>
      </c>
      <c r="AF231" s="9" t="str">
        <f ca="1">IF(AND(Y231,AA231="ERREUR"),COUNTIF($AA$2:$AA231,"ERREUR"),"")</f>
        <v/>
      </c>
    </row>
    <row r="232" spans="23:32" ht="25" customHeight="1">
      <c r="W232" s="19">
        <f t="shared" ca="1" si="40"/>
        <v>46238</v>
      </c>
      <c r="X232" s="9" t="str">
        <f t="shared" ca="1" si="41"/>
        <v>04082026</v>
      </c>
      <c r="Y232" s="9" t="b">
        <f t="shared" ca="1" si="42"/>
        <v>0</v>
      </c>
      <c r="Z232" s="9" t="str">
        <f ca="1">IF(Y232,COUNTIF($Y$2:$Y232,TRUE),"")</f>
        <v/>
      </c>
      <c r="AA232" s="9" t="str">
        <f t="shared" ca="1" si="43"/>
        <v/>
      </c>
      <c r="AB232" s="9" t="str">
        <f t="shared" ca="1" si="44"/>
        <v/>
      </c>
      <c r="AC232" s="9" t="str">
        <f t="shared" ca="1" si="45"/>
        <v/>
      </c>
      <c r="AD232" s="9" t="str">
        <f t="shared" ca="1" si="46"/>
        <v/>
      </c>
      <c r="AE232" s="9" t="str">
        <f t="shared" ca="1" si="47"/>
        <v/>
      </c>
      <c r="AF232" s="9" t="str">
        <f ca="1">IF(AND(Y232,AA232="ERREUR"),COUNTIF($AA$2:$AA232,"ERREUR"),"")</f>
        <v/>
      </c>
    </row>
    <row r="233" spans="23:32" ht="25" customHeight="1">
      <c r="W233" s="19">
        <f t="shared" ca="1" si="40"/>
        <v>46237</v>
      </c>
      <c r="X233" s="9" t="str">
        <f t="shared" ca="1" si="41"/>
        <v>03082026</v>
      </c>
      <c r="Y233" s="9" t="b">
        <f t="shared" ca="1" si="42"/>
        <v>0</v>
      </c>
      <c r="Z233" s="9" t="str">
        <f ca="1">IF(Y233,COUNTIF($Y$2:$Y233,TRUE),"")</f>
        <v/>
      </c>
      <c r="AA233" s="9" t="str">
        <f t="shared" ca="1" si="43"/>
        <v/>
      </c>
      <c r="AB233" s="9" t="str">
        <f t="shared" ca="1" si="44"/>
        <v/>
      </c>
      <c r="AC233" s="9" t="str">
        <f t="shared" ca="1" si="45"/>
        <v/>
      </c>
      <c r="AD233" s="9" t="str">
        <f t="shared" ca="1" si="46"/>
        <v/>
      </c>
      <c r="AE233" s="9" t="str">
        <f t="shared" ca="1" si="47"/>
        <v/>
      </c>
      <c r="AF233" s="9" t="str">
        <f ca="1">IF(AND(Y233,AA233="ERREUR"),COUNTIF($AA$2:$AA233,"ERREUR"),"")</f>
        <v/>
      </c>
    </row>
    <row r="234" spans="23:32" ht="25" customHeight="1">
      <c r="W234" s="19">
        <f t="shared" ca="1" si="40"/>
        <v>46236</v>
      </c>
      <c r="X234" s="9" t="str">
        <f t="shared" ca="1" si="41"/>
        <v>02082026</v>
      </c>
      <c r="Y234" s="9" t="b">
        <f t="shared" ca="1" si="42"/>
        <v>0</v>
      </c>
      <c r="Z234" s="9" t="str">
        <f ca="1">IF(Y234,COUNTIF($Y$2:$Y234,TRUE),"")</f>
        <v/>
      </c>
      <c r="AA234" s="9" t="str">
        <f t="shared" ca="1" si="43"/>
        <v/>
      </c>
      <c r="AB234" s="9" t="str">
        <f t="shared" ca="1" si="44"/>
        <v/>
      </c>
      <c r="AC234" s="9" t="str">
        <f t="shared" ca="1" si="45"/>
        <v/>
      </c>
      <c r="AD234" s="9" t="str">
        <f t="shared" ca="1" si="46"/>
        <v/>
      </c>
      <c r="AE234" s="9" t="str">
        <f t="shared" ca="1" si="47"/>
        <v/>
      </c>
      <c r="AF234" s="9" t="str">
        <f ca="1">IF(AND(Y234,AA234="ERREUR"),COUNTIF($AA$2:$AA234,"ERREUR"),"")</f>
        <v/>
      </c>
    </row>
    <row r="235" spans="23:32" ht="25" customHeight="1">
      <c r="W235" s="19">
        <f t="shared" ca="1" si="40"/>
        <v>46235</v>
      </c>
      <c r="X235" s="9" t="str">
        <f t="shared" ca="1" si="41"/>
        <v>01082026</v>
      </c>
      <c r="Y235" s="9" t="b">
        <f t="shared" ca="1" si="42"/>
        <v>0</v>
      </c>
      <c r="Z235" s="9" t="str">
        <f ca="1">IF(Y235,COUNTIF($Y$2:$Y235,TRUE),"")</f>
        <v/>
      </c>
      <c r="AA235" s="9" t="str">
        <f t="shared" ca="1" si="43"/>
        <v/>
      </c>
      <c r="AB235" s="9" t="str">
        <f t="shared" ca="1" si="44"/>
        <v/>
      </c>
      <c r="AC235" s="9" t="str">
        <f t="shared" ca="1" si="45"/>
        <v/>
      </c>
      <c r="AD235" s="9" t="str">
        <f t="shared" ca="1" si="46"/>
        <v/>
      </c>
      <c r="AE235" s="9" t="str">
        <f t="shared" ca="1" si="47"/>
        <v/>
      </c>
      <c r="AF235" s="9" t="str">
        <f ca="1">IF(AND(Y235,AA235="ERREUR"),COUNTIF($AA$2:$AA235,"ERREUR"),"")</f>
        <v/>
      </c>
    </row>
    <row r="236" spans="23:32" ht="25" customHeight="1">
      <c r="W236" s="19">
        <f t="shared" ca="1" si="40"/>
        <v>46234</v>
      </c>
      <c r="X236" s="9" t="str">
        <f t="shared" ca="1" si="41"/>
        <v>31072026</v>
      </c>
      <c r="Y236" s="9" t="b">
        <f t="shared" ca="1" si="42"/>
        <v>0</v>
      </c>
      <c r="Z236" s="9" t="str">
        <f ca="1">IF(Y236,COUNTIF($Y$2:$Y236,TRUE),"")</f>
        <v/>
      </c>
      <c r="AA236" s="9" t="str">
        <f t="shared" ca="1" si="43"/>
        <v/>
      </c>
      <c r="AB236" s="9" t="str">
        <f t="shared" ca="1" si="44"/>
        <v/>
      </c>
      <c r="AC236" s="9" t="str">
        <f t="shared" ca="1" si="45"/>
        <v/>
      </c>
      <c r="AD236" s="9" t="str">
        <f t="shared" ca="1" si="46"/>
        <v/>
      </c>
      <c r="AE236" s="9" t="str">
        <f t="shared" ca="1" si="47"/>
        <v/>
      </c>
      <c r="AF236" s="9" t="str">
        <f ca="1">IF(AND(Y236,AA236="ERREUR"),COUNTIF($AA$2:$AA236,"ERREUR"),"")</f>
        <v/>
      </c>
    </row>
    <row r="237" spans="23:32" ht="25" customHeight="1">
      <c r="W237" s="19">
        <f t="shared" ca="1" si="40"/>
        <v>46233</v>
      </c>
      <c r="X237" s="9" t="str">
        <f t="shared" ca="1" si="41"/>
        <v>30072026</v>
      </c>
      <c r="Y237" s="9" t="b">
        <f t="shared" ca="1" si="42"/>
        <v>0</v>
      </c>
      <c r="Z237" s="9" t="str">
        <f ca="1">IF(Y237,COUNTIF($Y$2:$Y237,TRUE),"")</f>
        <v/>
      </c>
      <c r="AA237" s="9" t="str">
        <f t="shared" ca="1" si="43"/>
        <v/>
      </c>
      <c r="AB237" s="9" t="str">
        <f t="shared" ca="1" si="44"/>
        <v/>
      </c>
      <c r="AC237" s="9" t="str">
        <f t="shared" ca="1" si="45"/>
        <v/>
      </c>
      <c r="AD237" s="9" t="str">
        <f t="shared" ca="1" si="46"/>
        <v/>
      </c>
      <c r="AE237" s="9" t="str">
        <f t="shared" ca="1" si="47"/>
        <v/>
      </c>
      <c r="AF237" s="9" t="str">
        <f ca="1">IF(AND(Y237,AA237="ERREUR"),COUNTIF($AA$2:$AA237,"ERREUR"),"")</f>
        <v/>
      </c>
    </row>
    <row r="238" spans="23:32" ht="25" customHeight="1">
      <c r="W238" s="19">
        <f t="shared" ca="1" si="40"/>
        <v>46232</v>
      </c>
      <c r="X238" s="9" t="str">
        <f t="shared" ca="1" si="41"/>
        <v>29072026</v>
      </c>
      <c r="Y238" s="9" t="b">
        <f t="shared" ca="1" si="42"/>
        <v>0</v>
      </c>
      <c r="Z238" s="9" t="str">
        <f ca="1">IF(Y238,COUNTIF($Y$2:$Y238,TRUE),"")</f>
        <v/>
      </c>
      <c r="AA238" s="9" t="str">
        <f t="shared" ca="1" si="43"/>
        <v/>
      </c>
      <c r="AB238" s="9" t="str">
        <f t="shared" ca="1" si="44"/>
        <v/>
      </c>
      <c r="AC238" s="9" t="str">
        <f t="shared" ca="1" si="45"/>
        <v/>
      </c>
      <c r="AD238" s="9" t="str">
        <f t="shared" ca="1" si="46"/>
        <v/>
      </c>
      <c r="AE238" s="9" t="str">
        <f t="shared" ca="1" si="47"/>
        <v/>
      </c>
      <c r="AF238" s="9" t="str">
        <f ca="1">IF(AND(Y238,AA238="ERREUR"),COUNTIF($AA$2:$AA238,"ERREUR"),"")</f>
        <v/>
      </c>
    </row>
    <row r="239" spans="23:32" ht="25" customHeight="1">
      <c r="W239" s="19">
        <f t="shared" ca="1" si="40"/>
        <v>46231</v>
      </c>
      <c r="X239" s="9" t="str">
        <f t="shared" ca="1" si="41"/>
        <v>28072026</v>
      </c>
      <c r="Y239" s="9" t="b">
        <f t="shared" ca="1" si="42"/>
        <v>0</v>
      </c>
      <c r="Z239" s="9" t="str">
        <f ca="1">IF(Y239,COUNTIF($Y$2:$Y239,TRUE),"")</f>
        <v/>
      </c>
      <c r="AA239" s="9" t="str">
        <f t="shared" ca="1" si="43"/>
        <v/>
      </c>
      <c r="AB239" s="9" t="str">
        <f t="shared" ca="1" si="44"/>
        <v/>
      </c>
      <c r="AC239" s="9" t="str">
        <f t="shared" ca="1" si="45"/>
        <v/>
      </c>
      <c r="AD239" s="9" t="str">
        <f t="shared" ca="1" si="46"/>
        <v/>
      </c>
      <c r="AE239" s="9" t="str">
        <f t="shared" ca="1" si="47"/>
        <v/>
      </c>
      <c r="AF239" s="9" t="str">
        <f ca="1">IF(AND(Y239,AA239="ERREUR"),COUNTIF($AA$2:$AA239,"ERREUR"),"")</f>
        <v/>
      </c>
    </row>
    <row r="240" spans="23:32" ht="25" customHeight="1">
      <c r="W240" s="19">
        <f t="shared" ca="1" si="40"/>
        <v>46230</v>
      </c>
      <c r="X240" s="9" t="str">
        <f t="shared" ca="1" si="41"/>
        <v>27072026</v>
      </c>
      <c r="Y240" s="9" t="b">
        <f t="shared" ca="1" si="42"/>
        <v>0</v>
      </c>
      <c r="Z240" s="9" t="str">
        <f ca="1">IF(Y240,COUNTIF($Y$2:$Y240,TRUE),"")</f>
        <v/>
      </c>
      <c r="AA240" s="9" t="str">
        <f t="shared" ca="1" si="43"/>
        <v/>
      </c>
      <c r="AB240" s="9" t="str">
        <f t="shared" ca="1" si="44"/>
        <v/>
      </c>
      <c r="AC240" s="9" t="str">
        <f t="shared" ca="1" si="45"/>
        <v/>
      </c>
      <c r="AD240" s="9" t="str">
        <f t="shared" ca="1" si="46"/>
        <v/>
      </c>
      <c r="AE240" s="9" t="str">
        <f t="shared" ca="1" si="47"/>
        <v/>
      </c>
      <c r="AF240" s="9" t="str">
        <f ca="1">IF(AND(Y240,AA240="ERREUR"),COUNTIF($AA$2:$AA240,"ERREUR"),"")</f>
        <v/>
      </c>
    </row>
    <row r="241" spans="23:32" ht="25" customHeight="1">
      <c r="W241" s="19">
        <f t="shared" ca="1" si="40"/>
        <v>46229</v>
      </c>
      <c r="X241" s="9" t="str">
        <f t="shared" ca="1" si="41"/>
        <v>26072026</v>
      </c>
      <c r="Y241" s="9" t="b">
        <f t="shared" ca="1" si="42"/>
        <v>0</v>
      </c>
      <c r="Z241" s="9" t="str">
        <f ca="1">IF(Y241,COUNTIF($Y$2:$Y241,TRUE),"")</f>
        <v/>
      </c>
      <c r="AA241" s="9" t="str">
        <f t="shared" ca="1" si="43"/>
        <v/>
      </c>
      <c r="AB241" s="9" t="str">
        <f t="shared" ca="1" si="44"/>
        <v/>
      </c>
      <c r="AC241" s="9" t="str">
        <f t="shared" ca="1" si="45"/>
        <v/>
      </c>
      <c r="AD241" s="9" t="str">
        <f t="shared" ca="1" si="46"/>
        <v/>
      </c>
      <c r="AE241" s="9" t="str">
        <f t="shared" ca="1" si="47"/>
        <v/>
      </c>
      <c r="AF241" s="9" t="str">
        <f ca="1">IF(AND(Y241,AA241="ERREUR"),COUNTIF($AA$2:$AA241,"ERREUR"),"")</f>
        <v/>
      </c>
    </row>
    <row r="242" spans="23:32" ht="25" customHeight="1">
      <c r="W242" s="19">
        <f t="shared" ca="1" si="40"/>
        <v>46228</v>
      </c>
      <c r="X242" s="9" t="str">
        <f t="shared" ca="1" si="41"/>
        <v>25072026</v>
      </c>
      <c r="Y242" s="9" t="b">
        <f t="shared" ca="1" si="42"/>
        <v>0</v>
      </c>
      <c r="Z242" s="9" t="str">
        <f ca="1">IF(Y242,COUNTIF($Y$2:$Y242,TRUE),"")</f>
        <v/>
      </c>
      <c r="AA242" s="9" t="str">
        <f t="shared" ca="1" si="43"/>
        <v/>
      </c>
      <c r="AB242" s="9" t="str">
        <f t="shared" ca="1" si="44"/>
        <v/>
      </c>
      <c r="AC242" s="9" t="str">
        <f t="shared" ca="1" si="45"/>
        <v/>
      </c>
      <c r="AD242" s="9" t="str">
        <f t="shared" ca="1" si="46"/>
        <v/>
      </c>
      <c r="AE242" s="9" t="str">
        <f t="shared" ca="1" si="47"/>
        <v/>
      </c>
      <c r="AF242" s="9" t="str">
        <f ca="1">IF(AND(Y242,AA242="ERREUR"),COUNTIF($AA$2:$AA242,"ERREUR"),"")</f>
        <v/>
      </c>
    </row>
    <row r="243" spans="23:32" ht="25" customHeight="1">
      <c r="W243" s="19">
        <f t="shared" ca="1" si="40"/>
        <v>46227</v>
      </c>
      <c r="X243" s="9" t="str">
        <f t="shared" ca="1" si="41"/>
        <v>24072026</v>
      </c>
      <c r="Y243" s="9" t="b">
        <f t="shared" ca="1" si="42"/>
        <v>0</v>
      </c>
      <c r="Z243" s="9" t="str">
        <f ca="1">IF(Y243,COUNTIF($Y$2:$Y243,TRUE),"")</f>
        <v/>
      </c>
      <c r="AA243" s="9" t="str">
        <f t="shared" ca="1" si="43"/>
        <v/>
      </c>
      <c r="AB243" s="9" t="str">
        <f t="shared" ca="1" si="44"/>
        <v/>
      </c>
      <c r="AC243" s="9" t="str">
        <f t="shared" ca="1" si="45"/>
        <v/>
      </c>
      <c r="AD243" s="9" t="str">
        <f t="shared" ca="1" si="46"/>
        <v/>
      </c>
      <c r="AE243" s="9" t="str">
        <f t="shared" ca="1" si="47"/>
        <v/>
      </c>
      <c r="AF243" s="9" t="str">
        <f ca="1">IF(AND(Y243,AA243="ERREUR"),COUNTIF($AA$2:$AA243,"ERREUR"),"")</f>
        <v/>
      </c>
    </row>
    <row r="244" spans="23:32" ht="25" customHeight="1">
      <c r="W244" s="19">
        <f t="shared" ca="1" si="40"/>
        <v>46226</v>
      </c>
      <c r="X244" s="9" t="str">
        <f t="shared" ca="1" si="41"/>
        <v>23072026</v>
      </c>
      <c r="Y244" s="9" t="b">
        <f t="shared" ca="1" si="42"/>
        <v>0</v>
      </c>
      <c r="Z244" s="9" t="str">
        <f ca="1">IF(Y244,COUNTIF($Y$2:$Y244,TRUE),"")</f>
        <v/>
      </c>
      <c r="AA244" s="9" t="str">
        <f t="shared" ca="1" si="43"/>
        <v/>
      </c>
      <c r="AB244" s="9" t="str">
        <f t="shared" ca="1" si="44"/>
        <v/>
      </c>
      <c r="AC244" s="9" t="str">
        <f t="shared" ca="1" si="45"/>
        <v/>
      </c>
      <c r="AD244" s="9" t="str">
        <f t="shared" ca="1" si="46"/>
        <v/>
      </c>
      <c r="AE244" s="9" t="str">
        <f t="shared" ca="1" si="47"/>
        <v/>
      </c>
      <c r="AF244" s="9" t="str">
        <f ca="1">IF(AND(Y244,AA244="ERREUR"),COUNTIF($AA$2:$AA244,"ERREUR"),"")</f>
        <v/>
      </c>
    </row>
    <row r="245" spans="23:32" ht="25" customHeight="1">
      <c r="W245" s="19">
        <f t="shared" ca="1" si="40"/>
        <v>46225</v>
      </c>
      <c r="X245" s="9" t="str">
        <f t="shared" ca="1" si="41"/>
        <v>22072026</v>
      </c>
      <c r="Y245" s="9" t="b">
        <f t="shared" ca="1" si="42"/>
        <v>0</v>
      </c>
      <c r="Z245" s="9" t="str">
        <f ca="1">IF(Y245,COUNTIF($Y$2:$Y245,TRUE),"")</f>
        <v/>
      </c>
      <c r="AA245" s="9" t="str">
        <f t="shared" ca="1" si="43"/>
        <v/>
      </c>
      <c r="AB245" s="9" t="str">
        <f t="shared" ca="1" si="44"/>
        <v/>
      </c>
      <c r="AC245" s="9" t="str">
        <f t="shared" ca="1" si="45"/>
        <v/>
      </c>
      <c r="AD245" s="9" t="str">
        <f t="shared" ca="1" si="46"/>
        <v/>
      </c>
      <c r="AE245" s="9" t="str">
        <f t="shared" ca="1" si="47"/>
        <v/>
      </c>
      <c r="AF245" s="9" t="str">
        <f ca="1">IF(AND(Y245,AA245="ERREUR"),COUNTIF($AA$2:$AA245,"ERREUR"),"")</f>
        <v/>
      </c>
    </row>
    <row r="246" spans="23:32" ht="25" customHeight="1">
      <c r="W246" s="19">
        <f t="shared" ca="1" si="40"/>
        <v>46224</v>
      </c>
      <c r="X246" s="9" t="str">
        <f t="shared" ca="1" si="41"/>
        <v>21072026</v>
      </c>
      <c r="Y246" s="9" t="b">
        <f t="shared" ca="1" si="42"/>
        <v>0</v>
      </c>
      <c r="Z246" s="9" t="str">
        <f ca="1">IF(Y246,COUNTIF($Y$2:$Y246,TRUE),"")</f>
        <v/>
      </c>
      <c r="AA246" s="9" t="str">
        <f t="shared" ca="1" si="43"/>
        <v/>
      </c>
      <c r="AB246" s="9" t="str">
        <f t="shared" ca="1" si="44"/>
        <v/>
      </c>
      <c r="AC246" s="9" t="str">
        <f t="shared" ca="1" si="45"/>
        <v/>
      </c>
      <c r="AD246" s="9" t="str">
        <f t="shared" ca="1" si="46"/>
        <v/>
      </c>
      <c r="AE246" s="9" t="str">
        <f t="shared" ca="1" si="47"/>
        <v/>
      </c>
      <c r="AF246" s="9" t="str">
        <f ca="1">IF(AND(Y246,AA246="ERREUR"),COUNTIF($AA$2:$AA246,"ERREUR"),"")</f>
        <v/>
      </c>
    </row>
    <row r="247" spans="23:32" ht="25" customHeight="1">
      <c r="W247" s="19">
        <f t="shared" ca="1" si="40"/>
        <v>46223</v>
      </c>
      <c r="X247" s="9" t="str">
        <f t="shared" ca="1" si="41"/>
        <v>20072026</v>
      </c>
      <c r="Y247" s="9" t="b">
        <f t="shared" ca="1" si="42"/>
        <v>0</v>
      </c>
      <c r="Z247" s="9" t="str">
        <f ca="1">IF(Y247,COUNTIF($Y$2:$Y247,TRUE),"")</f>
        <v/>
      </c>
      <c r="AA247" s="9" t="str">
        <f t="shared" ca="1" si="43"/>
        <v/>
      </c>
      <c r="AB247" s="9" t="str">
        <f t="shared" ca="1" si="44"/>
        <v/>
      </c>
      <c r="AC247" s="9" t="str">
        <f t="shared" ca="1" si="45"/>
        <v/>
      </c>
      <c r="AD247" s="9" t="str">
        <f t="shared" ca="1" si="46"/>
        <v/>
      </c>
      <c r="AE247" s="9" t="str">
        <f t="shared" ca="1" si="47"/>
        <v/>
      </c>
      <c r="AF247" s="9" t="str">
        <f ca="1">IF(AND(Y247,AA247="ERREUR"),COUNTIF($AA$2:$AA247,"ERREUR"),"")</f>
        <v/>
      </c>
    </row>
    <row r="248" spans="23:32" ht="25" customHeight="1">
      <c r="W248" s="19">
        <f t="shared" ca="1" si="40"/>
        <v>46222</v>
      </c>
      <c r="X248" s="9" t="str">
        <f t="shared" ca="1" si="41"/>
        <v>19072026</v>
      </c>
      <c r="Y248" s="9" t="b">
        <f t="shared" ca="1" si="42"/>
        <v>0</v>
      </c>
      <c r="Z248" s="9" t="str">
        <f ca="1">IF(Y248,COUNTIF($Y$2:$Y248,TRUE),"")</f>
        <v/>
      </c>
      <c r="AA248" s="9" t="str">
        <f t="shared" ca="1" si="43"/>
        <v/>
      </c>
      <c r="AB248" s="9" t="str">
        <f t="shared" ca="1" si="44"/>
        <v/>
      </c>
      <c r="AC248" s="9" t="str">
        <f t="shared" ca="1" si="45"/>
        <v/>
      </c>
      <c r="AD248" s="9" t="str">
        <f t="shared" ca="1" si="46"/>
        <v/>
      </c>
      <c r="AE248" s="9" t="str">
        <f t="shared" ca="1" si="47"/>
        <v/>
      </c>
      <c r="AF248" s="9" t="str">
        <f ca="1">IF(AND(Y248,AA248="ERREUR"),COUNTIF($AA$2:$AA248,"ERREUR"),"")</f>
        <v/>
      </c>
    </row>
    <row r="249" spans="23:32" ht="25" customHeight="1">
      <c r="W249" s="19">
        <f t="shared" ca="1" si="40"/>
        <v>46221</v>
      </c>
      <c r="X249" s="9" t="str">
        <f t="shared" ca="1" si="41"/>
        <v>18072026</v>
      </c>
      <c r="Y249" s="9" t="b">
        <f t="shared" ca="1" si="42"/>
        <v>0</v>
      </c>
      <c r="Z249" s="9" t="str">
        <f ca="1">IF(Y249,COUNTIF($Y$2:$Y249,TRUE),"")</f>
        <v/>
      </c>
      <c r="AA249" s="9" t="str">
        <f t="shared" ca="1" si="43"/>
        <v/>
      </c>
      <c r="AB249" s="9" t="str">
        <f t="shared" ca="1" si="44"/>
        <v/>
      </c>
      <c r="AC249" s="9" t="str">
        <f t="shared" ca="1" si="45"/>
        <v/>
      </c>
      <c r="AD249" s="9" t="str">
        <f t="shared" ca="1" si="46"/>
        <v/>
      </c>
      <c r="AE249" s="9" t="str">
        <f t="shared" ca="1" si="47"/>
        <v/>
      </c>
      <c r="AF249" s="9" t="str">
        <f ca="1">IF(AND(Y249,AA249="ERREUR"),COUNTIF($AA$2:$AA249,"ERREUR"),"")</f>
        <v/>
      </c>
    </row>
    <row r="250" spans="23:32" ht="25" customHeight="1">
      <c r="W250" s="19">
        <f t="shared" ca="1" si="40"/>
        <v>46220</v>
      </c>
      <c r="X250" s="9" t="str">
        <f t="shared" ca="1" si="41"/>
        <v>17072026</v>
      </c>
      <c r="Y250" s="9" t="b">
        <f t="shared" ca="1" si="42"/>
        <v>0</v>
      </c>
      <c r="Z250" s="9" t="str">
        <f ca="1">IF(Y250,COUNTIF($Y$2:$Y250,TRUE),"")</f>
        <v/>
      </c>
      <c r="AA250" s="9" t="str">
        <f t="shared" ca="1" si="43"/>
        <v/>
      </c>
      <c r="AB250" s="9" t="str">
        <f t="shared" ca="1" si="44"/>
        <v/>
      </c>
      <c r="AC250" s="9" t="str">
        <f t="shared" ca="1" si="45"/>
        <v/>
      </c>
      <c r="AD250" s="9" t="str">
        <f t="shared" ca="1" si="46"/>
        <v/>
      </c>
      <c r="AE250" s="9" t="str">
        <f t="shared" ca="1" si="47"/>
        <v/>
      </c>
      <c r="AF250" s="9" t="str">
        <f ca="1">IF(AND(Y250,AA250="ERREUR"),COUNTIF($AA$2:$AA250,"ERREUR"),"")</f>
        <v/>
      </c>
    </row>
    <row r="251" spans="23:32" ht="25" customHeight="1">
      <c r="W251" s="19">
        <f t="shared" ca="1" si="40"/>
        <v>46219</v>
      </c>
      <c r="X251" s="9" t="str">
        <f t="shared" ca="1" si="41"/>
        <v>16072026</v>
      </c>
      <c r="Y251" s="9" t="b">
        <f t="shared" ca="1" si="42"/>
        <v>0</v>
      </c>
      <c r="Z251" s="9" t="str">
        <f ca="1">IF(Y251,COUNTIF($Y$2:$Y251,TRUE),"")</f>
        <v/>
      </c>
      <c r="AA251" s="9" t="str">
        <f t="shared" ca="1" si="43"/>
        <v/>
      </c>
      <c r="AB251" s="9" t="str">
        <f t="shared" ca="1" si="44"/>
        <v/>
      </c>
      <c r="AC251" s="9" t="str">
        <f t="shared" ca="1" si="45"/>
        <v/>
      </c>
      <c r="AD251" s="9" t="str">
        <f t="shared" ca="1" si="46"/>
        <v/>
      </c>
      <c r="AE251" s="9" t="str">
        <f t="shared" ca="1" si="47"/>
        <v/>
      </c>
      <c r="AF251" s="9" t="str">
        <f ca="1">IF(AND(Y251,AA251="ERREUR"),COUNTIF($AA$2:$AA251,"ERREUR"),"")</f>
        <v/>
      </c>
    </row>
    <row r="252" spans="23:32" ht="25" customHeight="1">
      <c r="W252" s="19">
        <f t="shared" ca="1" si="40"/>
        <v>46218</v>
      </c>
      <c r="X252" s="9" t="str">
        <f t="shared" ca="1" si="41"/>
        <v>15072026</v>
      </c>
      <c r="Y252" s="9" t="b">
        <f t="shared" ca="1" si="42"/>
        <v>0</v>
      </c>
      <c r="Z252" s="9" t="str">
        <f ca="1">IF(Y252,COUNTIF($Y$2:$Y252,TRUE),"")</f>
        <v/>
      </c>
      <c r="AA252" s="9" t="str">
        <f t="shared" ca="1" si="43"/>
        <v/>
      </c>
      <c r="AB252" s="9" t="str">
        <f t="shared" ca="1" si="44"/>
        <v/>
      </c>
      <c r="AC252" s="9" t="str">
        <f t="shared" ca="1" si="45"/>
        <v/>
      </c>
      <c r="AD252" s="9" t="str">
        <f t="shared" ca="1" si="46"/>
        <v/>
      </c>
      <c r="AE252" s="9" t="str">
        <f t="shared" ca="1" si="47"/>
        <v/>
      </c>
      <c r="AF252" s="9" t="str">
        <f ca="1">IF(AND(Y252,AA252="ERREUR"),COUNTIF($AA$2:$AA252,"ERREUR"),"")</f>
        <v/>
      </c>
    </row>
    <row r="253" spans="23:32" ht="25" customHeight="1">
      <c r="W253" s="19">
        <f t="shared" ca="1" si="40"/>
        <v>46217</v>
      </c>
      <c r="X253" s="9" t="str">
        <f t="shared" ca="1" si="41"/>
        <v>14072026</v>
      </c>
      <c r="Y253" s="9" t="b">
        <f t="shared" ca="1" si="42"/>
        <v>0</v>
      </c>
      <c r="Z253" s="9" t="str">
        <f ca="1">IF(Y253,COUNTIF($Y$2:$Y253,TRUE),"")</f>
        <v/>
      </c>
      <c r="AA253" s="9" t="str">
        <f t="shared" ca="1" si="43"/>
        <v/>
      </c>
      <c r="AB253" s="9" t="str">
        <f t="shared" ca="1" si="44"/>
        <v/>
      </c>
      <c r="AC253" s="9" t="str">
        <f t="shared" ca="1" si="45"/>
        <v/>
      </c>
      <c r="AD253" s="9" t="str">
        <f t="shared" ca="1" si="46"/>
        <v/>
      </c>
      <c r="AE253" s="9" t="str">
        <f t="shared" ca="1" si="47"/>
        <v/>
      </c>
      <c r="AF253" s="9" t="str">
        <f ca="1">IF(AND(Y253,AA253="ERREUR"),COUNTIF($AA$2:$AA253,"ERREUR"),"")</f>
        <v/>
      </c>
    </row>
    <row r="254" spans="23:32" ht="25" customHeight="1">
      <c r="W254" s="19">
        <f t="shared" ca="1" si="40"/>
        <v>46216</v>
      </c>
      <c r="X254" s="9" t="str">
        <f t="shared" ca="1" si="41"/>
        <v>13072026</v>
      </c>
      <c r="Y254" s="9" t="b">
        <f t="shared" ca="1" si="42"/>
        <v>0</v>
      </c>
      <c r="Z254" s="9" t="str">
        <f ca="1">IF(Y254,COUNTIF($Y$2:$Y254,TRUE),"")</f>
        <v/>
      </c>
      <c r="AA254" s="9" t="str">
        <f t="shared" ca="1" si="43"/>
        <v/>
      </c>
      <c r="AB254" s="9" t="str">
        <f t="shared" ca="1" si="44"/>
        <v/>
      </c>
      <c r="AC254" s="9" t="str">
        <f t="shared" ca="1" si="45"/>
        <v/>
      </c>
      <c r="AD254" s="9" t="str">
        <f t="shared" ca="1" si="46"/>
        <v/>
      </c>
      <c r="AE254" s="9" t="str">
        <f t="shared" ca="1" si="47"/>
        <v/>
      </c>
      <c r="AF254" s="9" t="str">
        <f ca="1">IF(AND(Y254,AA254="ERREUR"),COUNTIF($AA$2:$AA254,"ERREUR"),"")</f>
        <v/>
      </c>
    </row>
    <row r="255" spans="23:32" ht="25" customHeight="1">
      <c r="W255" s="19">
        <f t="shared" ca="1" si="40"/>
        <v>46215</v>
      </c>
      <c r="X255" s="9" t="str">
        <f t="shared" ca="1" si="41"/>
        <v>12072026</v>
      </c>
      <c r="Y255" s="9" t="b">
        <f t="shared" ca="1" si="42"/>
        <v>0</v>
      </c>
      <c r="Z255" s="9" t="str">
        <f ca="1">IF(Y255,COUNTIF($Y$2:$Y255,TRUE),"")</f>
        <v/>
      </c>
      <c r="AA255" s="9" t="str">
        <f t="shared" ca="1" si="43"/>
        <v/>
      </c>
      <c r="AB255" s="9" t="str">
        <f t="shared" ca="1" si="44"/>
        <v/>
      </c>
      <c r="AC255" s="9" t="str">
        <f t="shared" ca="1" si="45"/>
        <v/>
      </c>
      <c r="AD255" s="9" t="str">
        <f t="shared" ca="1" si="46"/>
        <v/>
      </c>
      <c r="AE255" s="9" t="str">
        <f t="shared" ca="1" si="47"/>
        <v/>
      </c>
      <c r="AF255" s="9" t="str">
        <f ca="1">IF(AND(Y255,AA255="ERREUR"),COUNTIF($AA$2:$AA255,"ERREUR"),"")</f>
        <v/>
      </c>
    </row>
    <row r="256" spans="23:32" ht="25" customHeight="1">
      <c r="W256" s="19">
        <f t="shared" ca="1" si="40"/>
        <v>46214</v>
      </c>
      <c r="X256" s="9" t="str">
        <f t="shared" ca="1" si="41"/>
        <v>11072026</v>
      </c>
      <c r="Y256" s="9" t="b">
        <f t="shared" ca="1" si="42"/>
        <v>0</v>
      </c>
      <c r="Z256" s="9" t="str">
        <f ca="1">IF(Y256,COUNTIF($Y$2:$Y256,TRUE),"")</f>
        <v/>
      </c>
      <c r="AA256" s="9" t="str">
        <f t="shared" ca="1" si="43"/>
        <v/>
      </c>
      <c r="AB256" s="9" t="str">
        <f t="shared" ca="1" si="44"/>
        <v/>
      </c>
      <c r="AC256" s="9" t="str">
        <f t="shared" ca="1" si="45"/>
        <v/>
      </c>
      <c r="AD256" s="9" t="str">
        <f t="shared" ca="1" si="46"/>
        <v/>
      </c>
      <c r="AE256" s="9" t="str">
        <f t="shared" ca="1" si="47"/>
        <v/>
      </c>
      <c r="AF256" s="9" t="str">
        <f ca="1">IF(AND(Y256,AA256="ERREUR"),COUNTIF($AA$2:$AA256,"ERREUR"),"")</f>
        <v/>
      </c>
    </row>
    <row r="257" spans="23:32" ht="25" customHeight="1">
      <c r="W257" s="19">
        <f t="shared" ca="1" si="40"/>
        <v>46213</v>
      </c>
      <c r="X257" s="9" t="str">
        <f t="shared" ca="1" si="41"/>
        <v>10072026</v>
      </c>
      <c r="Y257" s="9" t="b">
        <f t="shared" ca="1" si="42"/>
        <v>0</v>
      </c>
      <c r="Z257" s="9" t="str">
        <f ca="1">IF(Y257,COUNTIF($Y$2:$Y257,TRUE),"")</f>
        <v/>
      </c>
      <c r="AA257" s="9" t="str">
        <f t="shared" ca="1" si="43"/>
        <v/>
      </c>
      <c r="AB257" s="9" t="str">
        <f t="shared" ca="1" si="44"/>
        <v/>
      </c>
      <c r="AC257" s="9" t="str">
        <f t="shared" ca="1" si="45"/>
        <v/>
      </c>
      <c r="AD257" s="9" t="str">
        <f t="shared" ca="1" si="46"/>
        <v/>
      </c>
      <c r="AE257" s="9" t="str">
        <f t="shared" ca="1" si="47"/>
        <v/>
      </c>
      <c r="AF257" s="9" t="str">
        <f ca="1">IF(AND(Y257,AA257="ERREUR"),COUNTIF($AA$2:$AA257,"ERREUR"),"")</f>
        <v/>
      </c>
    </row>
    <row r="258" spans="23:32" ht="25" customHeight="1">
      <c r="W258" s="19">
        <f t="shared" ref="W258:W321" ca="1" si="48">TODAY()+365-ROW()+2</f>
        <v>46212</v>
      </c>
      <c r="X258" s="9" t="str">
        <f t="shared" ref="X258:X321" ca="1" si="49">RIGHT("0"&amp;DAY(W258),2)&amp;RIGHT("0"&amp;MONTH(W258),2)&amp;YEAR(W258)</f>
        <v>09072026</v>
      </c>
      <c r="Y258" s="9" t="b">
        <f t="shared" ref="Y258:Y321" ca="1" si="50">IFERROR(INDIRECT(CHAR(39)&amp;X258&amp;CHAR(39)&amp;"!C3")="DATE DE CAISSE",FALSE)</f>
        <v>0</v>
      </c>
      <c r="Z258" s="9" t="str">
        <f ca="1">IF(Y258,COUNTIF($Y$2:$Y258,TRUE),"")</f>
        <v/>
      </c>
      <c r="AA258" s="9" t="str">
        <f t="shared" ref="AA258:AA321" ca="1" si="51">IF($Y258,IFERROR(IF(INDIRECT(CHAR(39)&amp;$X258&amp;CHAR(39)&amp;"!P3")="VIDE","NON SAISIE",INDIRECT(CHAR(39)&amp;$X258&amp;CHAR(39)&amp;"!P3")),""),"")</f>
        <v/>
      </c>
      <c r="AB258" s="9" t="str">
        <f t="shared" ref="AB258:AB321" ca="1" si="52">IF($Y258,IFERROR(INDIRECT(CHAR(39)&amp;$X258&amp;CHAR(39)&amp;"!M59"),""),"")</f>
        <v/>
      </c>
      <c r="AC258" s="9" t="str">
        <f t="shared" ref="AC258:AC321" ca="1" si="53">IF(Y258,IFERROR(INDIRECT(CHAR(39)&amp;X258&amp;CHAR(39)&amp;"!M3"),""),"")</f>
        <v/>
      </c>
      <c r="AD258" s="9" t="str">
        <f t="shared" ref="AD258:AD321" ca="1" si="54">IF(Y258,IFERROR(INDIRECT(CHAR(39)&amp;X258&amp;CHAR(39)&amp;"!M60"),""),"")</f>
        <v/>
      </c>
      <c r="AE258" s="9" t="str">
        <f t="shared" ref="AE258:AE321" ca="1" si="55">IF($Y258,IF($AA258="OK","RAS",IF($AA258="NON SAISIE","Non saisie",IF($AC258&lt;&gt;0,"Ecart de saisie",IF($AD258&lt;&gt;0,"Ecart de caisse",IF(IFERROR(COUNTIF(INDIRECT(CHAR(39)&amp;$X258&amp;CHAR(39)&amp;"!M11:M40"),"ERREUR"),0)&gt;0,"Lignes facture",IF(IFERROR(COUNTIF(INDIRECT(CHAR(39)&amp;$X258&amp;CHAR(39)&amp;"!N47:N50"),"&lt;&gt;OK"),0)&gt;0,"Controle banque","A verifier")))))),"")</f>
        <v/>
      </c>
      <c r="AF258" s="9" t="str">
        <f ca="1">IF(AND(Y258,AA258="ERREUR"),COUNTIF($AA$2:$AA258,"ERREUR"),"")</f>
        <v/>
      </c>
    </row>
    <row r="259" spans="23:32" ht="25" customHeight="1">
      <c r="W259" s="19">
        <f t="shared" ca="1" si="48"/>
        <v>46211</v>
      </c>
      <c r="X259" s="9" t="str">
        <f t="shared" ca="1" si="49"/>
        <v>08072026</v>
      </c>
      <c r="Y259" s="9" t="b">
        <f t="shared" ca="1" si="50"/>
        <v>0</v>
      </c>
      <c r="Z259" s="9" t="str">
        <f ca="1">IF(Y259,COUNTIF($Y$2:$Y259,TRUE),"")</f>
        <v/>
      </c>
      <c r="AA259" s="9" t="str">
        <f t="shared" ca="1" si="51"/>
        <v/>
      </c>
      <c r="AB259" s="9" t="str">
        <f t="shared" ca="1" si="52"/>
        <v/>
      </c>
      <c r="AC259" s="9" t="str">
        <f t="shared" ca="1" si="53"/>
        <v/>
      </c>
      <c r="AD259" s="9" t="str">
        <f t="shared" ca="1" si="54"/>
        <v/>
      </c>
      <c r="AE259" s="9" t="str">
        <f t="shared" ca="1" si="55"/>
        <v/>
      </c>
      <c r="AF259" s="9" t="str">
        <f ca="1">IF(AND(Y259,AA259="ERREUR"),COUNTIF($AA$2:$AA259,"ERREUR"),"")</f>
        <v/>
      </c>
    </row>
    <row r="260" spans="23:32" ht="25" customHeight="1">
      <c r="W260" s="19">
        <f t="shared" ca="1" si="48"/>
        <v>46210</v>
      </c>
      <c r="X260" s="9" t="str">
        <f t="shared" ca="1" si="49"/>
        <v>07072026</v>
      </c>
      <c r="Y260" s="9" t="b">
        <f t="shared" ca="1" si="50"/>
        <v>0</v>
      </c>
      <c r="Z260" s="9" t="str">
        <f ca="1">IF(Y260,COUNTIF($Y$2:$Y260,TRUE),"")</f>
        <v/>
      </c>
      <c r="AA260" s="9" t="str">
        <f t="shared" ca="1" si="51"/>
        <v/>
      </c>
      <c r="AB260" s="9" t="str">
        <f t="shared" ca="1" si="52"/>
        <v/>
      </c>
      <c r="AC260" s="9" t="str">
        <f t="shared" ca="1" si="53"/>
        <v/>
      </c>
      <c r="AD260" s="9" t="str">
        <f t="shared" ca="1" si="54"/>
        <v/>
      </c>
      <c r="AE260" s="9" t="str">
        <f t="shared" ca="1" si="55"/>
        <v/>
      </c>
      <c r="AF260" s="9" t="str">
        <f ca="1">IF(AND(Y260,AA260="ERREUR"),COUNTIF($AA$2:$AA260,"ERREUR"),"")</f>
        <v/>
      </c>
    </row>
    <row r="261" spans="23:32" ht="25" customHeight="1">
      <c r="W261" s="19">
        <f t="shared" ca="1" si="48"/>
        <v>46209</v>
      </c>
      <c r="X261" s="9" t="str">
        <f t="shared" ca="1" si="49"/>
        <v>06072026</v>
      </c>
      <c r="Y261" s="9" t="b">
        <f t="shared" ca="1" si="50"/>
        <v>0</v>
      </c>
      <c r="Z261" s="9" t="str">
        <f ca="1">IF(Y261,COUNTIF($Y$2:$Y261,TRUE),"")</f>
        <v/>
      </c>
      <c r="AA261" s="9" t="str">
        <f t="shared" ca="1" si="51"/>
        <v/>
      </c>
      <c r="AB261" s="9" t="str">
        <f t="shared" ca="1" si="52"/>
        <v/>
      </c>
      <c r="AC261" s="9" t="str">
        <f t="shared" ca="1" si="53"/>
        <v/>
      </c>
      <c r="AD261" s="9" t="str">
        <f t="shared" ca="1" si="54"/>
        <v/>
      </c>
      <c r="AE261" s="9" t="str">
        <f t="shared" ca="1" si="55"/>
        <v/>
      </c>
      <c r="AF261" s="9" t="str">
        <f ca="1">IF(AND(Y261,AA261="ERREUR"),COUNTIF($AA$2:$AA261,"ERREUR"),"")</f>
        <v/>
      </c>
    </row>
    <row r="262" spans="23:32" ht="25" customHeight="1">
      <c r="W262" s="19">
        <f t="shared" ca="1" si="48"/>
        <v>46208</v>
      </c>
      <c r="X262" s="9" t="str">
        <f t="shared" ca="1" si="49"/>
        <v>05072026</v>
      </c>
      <c r="Y262" s="9" t="b">
        <f t="shared" ca="1" si="50"/>
        <v>0</v>
      </c>
      <c r="Z262" s="9" t="str">
        <f ca="1">IF(Y262,COUNTIF($Y$2:$Y262,TRUE),"")</f>
        <v/>
      </c>
      <c r="AA262" s="9" t="str">
        <f t="shared" ca="1" si="51"/>
        <v/>
      </c>
      <c r="AB262" s="9" t="str">
        <f t="shared" ca="1" si="52"/>
        <v/>
      </c>
      <c r="AC262" s="9" t="str">
        <f t="shared" ca="1" si="53"/>
        <v/>
      </c>
      <c r="AD262" s="9" t="str">
        <f t="shared" ca="1" si="54"/>
        <v/>
      </c>
      <c r="AE262" s="9" t="str">
        <f t="shared" ca="1" si="55"/>
        <v/>
      </c>
      <c r="AF262" s="9" t="str">
        <f ca="1">IF(AND(Y262,AA262="ERREUR"),COUNTIF($AA$2:$AA262,"ERREUR"),"")</f>
        <v/>
      </c>
    </row>
    <row r="263" spans="23:32" ht="25" customHeight="1">
      <c r="W263" s="19">
        <f t="shared" ca="1" si="48"/>
        <v>46207</v>
      </c>
      <c r="X263" s="9" t="str">
        <f t="shared" ca="1" si="49"/>
        <v>04072026</v>
      </c>
      <c r="Y263" s="9" t="b">
        <f t="shared" ca="1" si="50"/>
        <v>0</v>
      </c>
      <c r="Z263" s="9" t="str">
        <f ca="1">IF(Y263,COUNTIF($Y$2:$Y263,TRUE),"")</f>
        <v/>
      </c>
      <c r="AA263" s="9" t="str">
        <f t="shared" ca="1" si="51"/>
        <v/>
      </c>
      <c r="AB263" s="9" t="str">
        <f t="shared" ca="1" si="52"/>
        <v/>
      </c>
      <c r="AC263" s="9" t="str">
        <f t="shared" ca="1" si="53"/>
        <v/>
      </c>
      <c r="AD263" s="9" t="str">
        <f t="shared" ca="1" si="54"/>
        <v/>
      </c>
      <c r="AE263" s="9" t="str">
        <f t="shared" ca="1" si="55"/>
        <v/>
      </c>
      <c r="AF263" s="9" t="str">
        <f ca="1">IF(AND(Y263,AA263="ERREUR"),COUNTIF($AA$2:$AA263,"ERREUR"),"")</f>
        <v/>
      </c>
    </row>
    <row r="264" spans="23:32" ht="25" customHeight="1">
      <c r="W264" s="19">
        <f t="shared" ca="1" si="48"/>
        <v>46206</v>
      </c>
      <c r="X264" s="9" t="str">
        <f t="shared" ca="1" si="49"/>
        <v>03072026</v>
      </c>
      <c r="Y264" s="9" t="b">
        <f t="shared" ca="1" si="50"/>
        <v>0</v>
      </c>
      <c r="Z264" s="9" t="str">
        <f ca="1">IF(Y264,COUNTIF($Y$2:$Y264,TRUE),"")</f>
        <v/>
      </c>
      <c r="AA264" s="9" t="str">
        <f t="shared" ca="1" si="51"/>
        <v/>
      </c>
      <c r="AB264" s="9" t="str">
        <f t="shared" ca="1" si="52"/>
        <v/>
      </c>
      <c r="AC264" s="9" t="str">
        <f t="shared" ca="1" si="53"/>
        <v/>
      </c>
      <c r="AD264" s="9" t="str">
        <f t="shared" ca="1" si="54"/>
        <v/>
      </c>
      <c r="AE264" s="9" t="str">
        <f t="shared" ca="1" si="55"/>
        <v/>
      </c>
      <c r="AF264" s="9" t="str">
        <f ca="1">IF(AND(Y264,AA264="ERREUR"),COUNTIF($AA$2:$AA264,"ERREUR"),"")</f>
        <v/>
      </c>
    </row>
    <row r="265" spans="23:32" ht="25" customHeight="1">
      <c r="W265" s="19">
        <f t="shared" ca="1" si="48"/>
        <v>46205</v>
      </c>
      <c r="X265" s="9" t="str">
        <f t="shared" ca="1" si="49"/>
        <v>02072026</v>
      </c>
      <c r="Y265" s="9" t="b">
        <f t="shared" ca="1" si="50"/>
        <v>0</v>
      </c>
      <c r="Z265" s="9" t="str">
        <f ca="1">IF(Y265,COUNTIF($Y$2:$Y265,TRUE),"")</f>
        <v/>
      </c>
      <c r="AA265" s="9" t="str">
        <f t="shared" ca="1" si="51"/>
        <v/>
      </c>
      <c r="AB265" s="9" t="str">
        <f t="shared" ca="1" si="52"/>
        <v/>
      </c>
      <c r="AC265" s="9" t="str">
        <f t="shared" ca="1" si="53"/>
        <v/>
      </c>
      <c r="AD265" s="9" t="str">
        <f t="shared" ca="1" si="54"/>
        <v/>
      </c>
      <c r="AE265" s="9" t="str">
        <f t="shared" ca="1" si="55"/>
        <v/>
      </c>
      <c r="AF265" s="9" t="str">
        <f ca="1">IF(AND(Y265,AA265="ERREUR"),COUNTIF($AA$2:$AA265,"ERREUR"),"")</f>
        <v/>
      </c>
    </row>
    <row r="266" spans="23:32" ht="25" customHeight="1">
      <c r="W266" s="19">
        <f t="shared" ca="1" si="48"/>
        <v>46204</v>
      </c>
      <c r="X266" s="9" t="str">
        <f t="shared" ca="1" si="49"/>
        <v>01072026</v>
      </c>
      <c r="Y266" s="9" t="b">
        <f t="shared" ca="1" si="50"/>
        <v>0</v>
      </c>
      <c r="Z266" s="9" t="str">
        <f ca="1">IF(Y266,COUNTIF($Y$2:$Y266,TRUE),"")</f>
        <v/>
      </c>
      <c r="AA266" s="9" t="str">
        <f t="shared" ca="1" si="51"/>
        <v/>
      </c>
      <c r="AB266" s="9" t="str">
        <f t="shared" ca="1" si="52"/>
        <v/>
      </c>
      <c r="AC266" s="9" t="str">
        <f t="shared" ca="1" si="53"/>
        <v/>
      </c>
      <c r="AD266" s="9" t="str">
        <f t="shared" ca="1" si="54"/>
        <v/>
      </c>
      <c r="AE266" s="9" t="str">
        <f t="shared" ca="1" si="55"/>
        <v/>
      </c>
      <c r="AF266" s="9" t="str">
        <f ca="1">IF(AND(Y266,AA266="ERREUR"),COUNTIF($AA$2:$AA266,"ERREUR"),"")</f>
        <v/>
      </c>
    </row>
    <row r="267" spans="23:32" ht="25" customHeight="1">
      <c r="W267" s="19">
        <f t="shared" ca="1" si="48"/>
        <v>46203</v>
      </c>
      <c r="X267" s="9" t="str">
        <f t="shared" ca="1" si="49"/>
        <v>30062026</v>
      </c>
      <c r="Y267" s="9" t="b">
        <f t="shared" ca="1" si="50"/>
        <v>0</v>
      </c>
      <c r="Z267" s="9" t="str">
        <f ca="1">IF(Y267,COUNTIF($Y$2:$Y267,TRUE),"")</f>
        <v/>
      </c>
      <c r="AA267" s="9" t="str">
        <f t="shared" ca="1" si="51"/>
        <v/>
      </c>
      <c r="AB267" s="9" t="str">
        <f t="shared" ca="1" si="52"/>
        <v/>
      </c>
      <c r="AC267" s="9" t="str">
        <f t="shared" ca="1" si="53"/>
        <v/>
      </c>
      <c r="AD267" s="9" t="str">
        <f t="shared" ca="1" si="54"/>
        <v/>
      </c>
      <c r="AE267" s="9" t="str">
        <f t="shared" ca="1" si="55"/>
        <v/>
      </c>
      <c r="AF267" s="9" t="str">
        <f ca="1">IF(AND(Y267,AA267="ERREUR"),COUNTIF($AA$2:$AA267,"ERREUR"),"")</f>
        <v/>
      </c>
    </row>
    <row r="268" spans="23:32" ht="25" customHeight="1">
      <c r="W268" s="19">
        <f t="shared" ca="1" si="48"/>
        <v>46202</v>
      </c>
      <c r="X268" s="9" t="str">
        <f t="shared" ca="1" si="49"/>
        <v>29062026</v>
      </c>
      <c r="Y268" s="9" t="b">
        <f t="shared" ca="1" si="50"/>
        <v>0</v>
      </c>
      <c r="Z268" s="9" t="str">
        <f ca="1">IF(Y268,COUNTIF($Y$2:$Y268,TRUE),"")</f>
        <v/>
      </c>
      <c r="AA268" s="9" t="str">
        <f t="shared" ca="1" si="51"/>
        <v/>
      </c>
      <c r="AB268" s="9" t="str">
        <f t="shared" ca="1" si="52"/>
        <v/>
      </c>
      <c r="AC268" s="9" t="str">
        <f t="shared" ca="1" si="53"/>
        <v/>
      </c>
      <c r="AD268" s="9" t="str">
        <f t="shared" ca="1" si="54"/>
        <v/>
      </c>
      <c r="AE268" s="9" t="str">
        <f t="shared" ca="1" si="55"/>
        <v/>
      </c>
      <c r="AF268" s="9" t="str">
        <f ca="1">IF(AND(Y268,AA268="ERREUR"),COUNTIF($AA$2:$AA268,"ERREUR"),"")</f>
        <v/>
      </c>
    </row>
    <row r="269" spans="23:32" ht="25" customHeight="1">
      <c r="W269" s="19">
        <f t="shared" ca="1" si="48"/>
        <v>46201</v>
      </c>
      <c r="X269" s="9" t="str">
        <f t="shared" ca="1" si="49"/>
        <v>28062026</v>
      </c>
      <c r="Y269" s="9" t="b">
        <f t="shared" ca="1" si="50"/>
        <v>0</v>
      </c>
      <c r="Z269" s="9" t="str">
        <f ca="1">IF(Y269,COUNTIF($Y$2:$Y269,TRUE),"")</f>
        <v/>
      </c>
      <c r="AA269" s="9" t="str">
        <f t="shared" ca="1" si="51"/>
        <v/>
      </c>
      <c r="AB269" s="9" t="str">
        <f t="shared" ca="1" si="52"/>
        <v/>
      </c>
      <c r="AC269" s="9" t="str">
        <f t="shared" ca="1" si="53"/>
        <v/>
      </c>
      <c r="AD269" s="9" t="str">
        <f t="shared" ca="1" si="54"/>
        <v/>
      </c>
      <c r="AE269" s="9" t="str">
        <f t="shared" ca="1" si="55"/>
        <v/>
      </c>
      <c r="AF269" s="9" t="str">
        <f ca="1">IF(AND(Y269,AA269="ERREUR"),COUNTIF($AA$2:$AA269,"ERREUR"),"")</f>
        <v/>
      </c>
    </row>
    <row r="270" spans="23:32" ht="25" customHeight="1">
      <c r="W270" s="19">
        <f t="shared" ca="1" si="48"/>
        <v>46200</v>
      </c>
      <c r="X270" s="9" t="str">
        <f t="shared" ca="1" si="49"/>
        <v>27062026</v>
      </c>
      <c r="Y270" s="9" t="b">
        <f t="shared" ca="1" si="50"/>
        <v>0</v>
      </c>
      <c r="Z270" s="9" t="str">
        <f ca="1">IF(Y270,COUNTIF($Y$2:$Y270,TRUE),"")</f>
        <v/>
      </c>
      <c r="AA270" s="9" t="str">
        <f t="shared" ca="1" si="51"/>
        <v/>
      </c>
      <c r="AB270" s="9" t="str">
        <f t="shared" ca="1" si="52"/>
        <v/>
      </c>
      <c r="AC270" s="9" t="str">
        <f t="shared" ca="1" si="53"/>
        <v/>
      </c>
      <c r="AD270" s="9" t="str">
        <f t="shared" ca="1" si="54"/>
        <v/>
      </c>
      <c r="AE270" s="9" t="str">
        <f t="shared" ca="1" si="55"/>
        <v/>
      </c>
      <c r="AF270" s="9" t="str">
        <f ca="1">IF(AND(Y270,AA270="ERREUR"),COUNTIF($AA$2:$AA270,"ERREUR"),"")</f>
        <v/>
      </c>
    </row>
    <row r="271" spans="23:32" ht="25" customHeight="1">
      <c r="W271" s="19">
        <f t="shared" ca="1" si="48"/>
        <v>46199</v>
      </c>
      <c r="X271" s="9" t="str">
        <f t="shared" ca="1" si="49"/>
        <v>26062026</v>
      </c>
      <c r="Y271" s="9" t="b">
        <f t="shared" ca="1" si="50"/>
        <v>0</v>
      </c>
      <c r="Z271" s="9" t="str">
        <f ca="1">IF(Y271,COUNTIF($Y$2:$Y271,TRUE),"")</f>
        <v/>
      </c>
      <c r="AA271" s="9" t="str">
        <f t="shared" ca="1" si="51"/>
        <v/>
      </c>
      <c r="AB271" s="9" t="str">
        <f t="shared" ca="1" si="52"/>
        <v/>
      </c>
      <c r="AC271" s="9" t="str">
        <f t="shared" ca="1" si="53"/>
        <v/>
      </c>
      <c r="AD271" s="9" t="str">
        <f t="shared" ca="1" si="54"/>
        <v/>
      </c>
      <c r="AE271" s="9" t="str">
        <f t="shared" ca="1" si="55"/>
        <v/>
      </c>
      <c r="AF271" s="9" t="str">
        <f ca="1">IF(AND(Y271,AA271="ERREUR"),COUNTIF($AA$2:$AA271,"ERREUR"),"")</f>
        <v/>
      </c>
    </row>
    <row r="272" spans="23:32" ht="25" customHeight="1">
      <c r="W272" s="19">
        <f t="shared" ca="1" si="48"/>
        <v>46198</v>
      </c>
      <c r="X272" s="9" t="str">
        <f t="shared" ca="1" si="49"/>
        <v>25062026</v>
      </c>
      <c r="Y272" s="9" t="b">
        <f t="shared" ca="1" si="50"/>
        <v>0</v>
      </c>
      <c r="Z272" s="9" t="str">
        <f ca="1">IF(Y272,COUNTIF($Y$2:$Y272,TRUE),"")</f>
        <v/>
      </c>
      <c r="AA272" s="9" t="str">
        <f t="shared" ca="1" si="51"/>
        <v/>
      </c>
      <c r="AB272" s="9" t="str">
        <f t="shared" ca="1" si="52"/>
        <v/>
      </c>
      <c r="AC272" s="9" t="str">
        <f t="shared" ca="1" si="53"/>
        <v/>
      </c>
      <c r="AD272" s="9" t="str">
        <f t="shared" ca="1" si="54"/>
        <v/>
      </c>
      <c r="AE272" s="9" t="str">
        <f t="shared" ca="1" si="55"/>
        <v/>
      </c>
      <c r="AF272" s="9" t="str">
        <f ca="1">IF(AND(Y272,AA272="ERREUR"),COUNTIF($AA$2:$AA272,"ERREUR"),"")</f>
        <v/>
      </c>
    </row>
    <row r="273" spans="23:32" ht="25" customHeight="1">
      <c r="W273" s="19">
        <f t="shared" ca="1" si="48"/>
        <v>46197</v>
      </c>
      <c r="X273" s="9" t="str">
        <f t="shared" ca="1" si="49"/>
        <v>24062026</v>
      </c>
      <c r="Y273" s="9" t="b">
        <f t="shared" ca="1" si="50"/>
        <v>0</v>
      </c>
      <c r="Z273" s="9" t="str">
        <f ca="1">IF(Y273,COUNTIF($Y$2:$Y273,TRUE),"")</f>
        <v/>
      </c>
      <c r="AA273" s="9" t="str">
        <f t="shared" ca="1" si="51"/>
        <v/>
      </c>
      <c r="AB273" s="9" t="str">
        <f t="shared" ca="1" si="52"/>
        <v/>
      </c>
      <c r="AC273" s="9" t="str">
        <f t="shared" ca="1" si="53"/>
        <v/>
      </c>
      <c r="AD273" s="9" t="str">
        <f t="shared" ca="1" si="54"/>
        <v/>
      </c>
      <c r="AE273" s="9" t="str">
        <f t="shared" ca="1" si="55"/>
        <v/>
      </c>
      <c r="AF273" s="9" t="str">
        <f ca="1">IF(AND(Y273,AA273="ERREUR"),COUNTIF($AA$2:$AA273,"ERREUR"),"")</f>
        <v/>
      </c>
    </row>
    <row r="274" spans="23:32" ht="25" customHeight="1">
      <c r="W274" s="19">
        <f t="shared" ca="1" si="48"/>
        <v>46196</v>
      </c>
      <c r="X274" s="9" t="str">
        <f t="shared" ca="1" si="49"/>
        <v>23062026</v>
      </c>
      <c r="Y274" s="9" t="b">
        <f t="shared" ca="1" si="50"/>
        <v>0</v>
      </c>
      <c r="Z274" s="9" t="str">
        <f ca="1">IF(Y274,COUNTIF($Y$2:$Y274,TRUE),"")</f>
        <v/>
      </c>
      <c r="AA274" s="9" t="str">
        <f t="shared" ca="1" si="51"/>
        <v/>
      </c>
      <c r="AB274" s="9" t="str">
        <f t="shared" ca="1" si="52"/>
        <v/>
      </c>
      <c r="AC274" s="9" t="str">
        <f t="shared" ca="1" si="53"/>
        <v/>
      </c>
      <c r="AD274" s="9" t="str">
        <f t="shared" ca="1" si="54"/>
        <v/>
      </c>
      <c r="AE274" s="9" t="str">
        <f t="shared" ca="1" si="55"/>
        <v/>
      </c>
      <c r="AF274" s="9" t="str">
        <f ca="1">IF(AND(Y274,AA274="ERREUR"),COUNTIF($AA$2:$AA274,"ERREUR"),"")</f>
        <v/>
      </c>
    </row>
    <row r="275" spans="23:32" ht="25" customHeight="1">
      <c r="W275" s="19">
        <f t="shared" ca="1" si="48"/>
        <v>46195</v>
      </c>
      <c r="X275" s="9" t="str">
        <f t="shared" ca="1" si="49"/>
        <v>22062026</v>
      </c>
      <c r="Y275" s="9" t="b">
        <f t="shared" ca="1" si="50"/>
        <v>0</v>
      </c>
      <c r="Z275" s="9" t="str">
        <f ca="1">IF(Y275,COUNTIF($Y$2:$Y275,TRUE),"")</f>
        <v/>
      </c>
      <c r="AA275" s="9" t="str">
        <f t="shared" ca="1" si="51"/>
        <v/>
      </c>
      <c r="AB275" s="9" t="str">
        <f t="shared" ca="1" si="52"/>
        <v/>
      </c>
      <c r="AC275" s="9" t="str">
        <f t="shared" ca="1" si="53"/>
        <v/>
      </c>
      <c r="AD275" s="9" t="str">
        <f t="shared" ca="1" si="54"/>
        <v/>
      </c>
      <c r="AE275" s="9" t="str">
        <f t="shared" ca="1" si="55"/>
        <v/>
      </c>
      <c r="AF275" s="9" t="str">
        <f ca="1">IF(AND(Y275,AA275="ERREUR"),COUNTIF($AA$2:$AA275,"ERREUR"),"")</f>
        <v/>
      </c>
    </row>
    <row r="276" spans="23:32" ht="25" customHeight="1">
      <c r="W276" s="19">
        <f t="shared" ca="1" si="48"/>
        <v>46194</v>
      </c>
      <c r="X276" s="9" t="str">
        <f t="shared" ca="1" si="49"/>
        <v>21062026</v>
      </c>
      <c r="Y276" s="9" t="b">
        <f t="shared" ca="1" si="50"/>
        <v>0</v>
      </c>
      <c r="Z276" s="9" t="str">
        <f ca="1">IF(Y276,COUNTIF($Y$2:$Y276,TRUE),"")</f>
        <v/>
      </c>
      <c r="AA276" s="9" t="str">
        <f t="shared" ca="1" si="51"/>
        <v/>
      </c>
      <c r="AB276" s="9" t="str">
        <f t="shared" ca="1" si="52"/>
        <v/>
      </c>
      <c r="AC276" s="9" t="str">
        <f t="shared" ca="1" si="53"/>
        <v/>
      </c>
      <c r="AD276" s="9" t="str">
        <f t="shared" ca="1" si="54"/>
        <v/>
      </c>
      <c r="AE276" s="9" t="str">
        <f t="shared" ca="1" si="55"/>
        <v/>
      </c>
      <c r="AF276" s="9" t="str">
        <f ca="1">IF(AND(Y276,AA276="ERREUR"),COUNTIF($AA$2:$AA276,"ERREUR"),"")</f>
        <v/>
      </c>
    </row>
    <row r="277" spans="23:32" ht="25" customHeight="1">
      <c r="W277" s="19">
        <f t="shared" ca="1" si="48"/>
        <v>46193</v>
      </c>
      <c r="X277" s="9" t="str">
        <f t="shared" ca="1" si="49"/>
        <v>20062026</v>
      </c>
      <c r="Y277" s="9" t="b">
        <f t="shared" ca="1" si="50"/>
        <v>0</v>
      </c>
      <c r="Z277" s="9" t="str">
        <f ca="1">IF(Y277,COUNTIF($Y$2:$Y277,TRUE),"")</f>
        <v/>
      </c>
      <c r="AA277" s="9" t="str">
        <f t="shared" ca="1" si="51"/>
        <v/>
      </c>
      <c r="AB277" s="9" t="str">
        <f t="shared" ca="1" si="52"/>
        <v/>
      </c>
      <c r="AC277" s="9" t="str">
        <f t="shared" ca="1" si="53"/>
        <v/>
      </c>
      <c r="AD277" s="9" t="str">
        <f t="shared" ca="1" si="54"/>
        <v/>
      </c>
      <c r="AE277" s="9" t="str">
        <f t="shared" ca="1" si="55"/>
        <v/>
      </c>
      <c r="AF277" s="9" t="str">
        <f ca="1">IF(AND(Y277,AA277="ERREUR"),COUNTIF($AA$2:$AA277,"ERREUR"),"")</f>
        <v/>
      </c>
    </row>
    <row r="278" spans="23:32" ht="25" customHeight="1">
      <c r="W278" s="19">
        <f t="shared" ca="1" si="48"/>
        <v>46192</v>
      </c>
      <c r="X278" s="9" t="str">
        <f t="shared" ca="1" si="49"/>
        <v>19062026</v>
      </c>
      <c r="Y278" s="9" t="b">
        <f t="shared" ca="1" si="50"/>
        <v>0</v>
      </c>
      <c r="Z278" s="9" t="str">
        <f ca="1">IF(Y278,COUNTIF($Y$2:$Y278,TRUE),"")</f>
        <v/>
      </c>
      <c r="AA278" s="9" t="str">
        <f t="shared" ca="1" si="51"/>
        <v/>
      </c>
      <c r="AB278" s="9" t="str">
        <f t="shared" ca="1" si="52"/>
        <v/>
      </c>
      <c r="AC278" s="9" t="str">
        <f t="shared" ca="1" si="53"/>
        <v/>
      </c>
      <c r="AD278" s="9" t="str">
        <f t="shared" ca="1" si="54"/>
        <v/>
      </c>
      <c r="AE278" s="9" t="str">
        <f t="shared" ca="1" si="55"/>
        <v/>
      </c>
      <c r="AF278" s="9" t="str">
        <f ca="1">IF(AND(Y278,AA278="ERREUR"),COUNTIF($AA$2:$AA278,"ERREUR"),"")</f>
        <v/>
      </c>
    </row>
    <row r="279" spans="23:32" ht="25" customHeight="1">
      <c r="W279" s="19">
        <f t="shared" ca="1" si="48"/>
        <v>46191</v>
      </c>
      <c r="X279" s="9" t="str">
        <f t="shared" ca="1" si="49"/>
        <v>18062026</v>
      </c>
      <c r="Y279" s="9" t="b">
        <f t="shared" ca="1" si="50"/>
        <v>0</v>
      </c>
      <c r="Z279" s="9" t="str">
        <f ca="1">IF(Y279,COUNTIF($Y$2:$Y279,TRUE),"")</f>
        <v/>
      </c>
      <c r="AA279" s="9" t="str">
        <f t="shared" ca="1" si="51"/>
        <v/>
      </c>
      <c r="AB279" s="9" t="str">
        <f t="shared" ca="1" si="52"/>
        <v/>
      </c>
      <c r="AC279" s="9" t="str">
        <f t="shared" ca="1" si="53"/>
        <v/>
      </c>
      <c r="AD279" s="9" t="str">
        <f t="shared" ca="1" si="54"/>
        <v/>
      </c>
      <c r="AE279" s="9" t="str">
        <f t="shared" ca="1" si="55"/>
        <v/>
      </c>
      <c r="AF279" s="9" t="str">
        <f ca="1">IF(AND(Y279,AA279="ERREUR"),COUNTIF($AA$2:$AA279,"ERREUR"),"")</f>
        <v/>
      </c>
    </row>
    <row r="280" spans="23:32" ht="25" customHeight="1">
      <c r="W280" s="19">
        <f t="shared" ca="1" si="48"/>
        <v>46190</v>
      </c>
      <c r="X280" s="9" t="str">
        <f t="shared" ca="1" si="49"/>
        <v>17062026</v>
      </c>
      <c r="Y280" s="9" t="b">
        <f t="shared" ca="1" si="50"/>
        <v>0</v>
      </c>
      <c r="Z280" s="9" t="str">
        <f ca="1">IF(Y280,COUNTIF($Y$2:$Y280,TRUE),"")</f>
        <v/>
      </c>
      <c r="AA280" s="9" t="str">
        <f t="shared" ca="1" si="51"/>
        <v/>
      </c>
      <c r="AB280" s="9" t="str">
        <f t="shared" ca="1" si="52"/>
        <v/>
      </c>
      <c r="AC280" s="9" t="str">
        <f t="shared" ca="1" si="53"/>
        <v/>
      </c>
      <c r="AD280" s="9" t="str">
        <f t="shared" ca="1" si="54"/>
        <v/>
      </c>
      <c r="AE280" s="9" t="str">
        <f t="shared" ca="1" si="55"/>
        <v/>
      </c>
      <c r="AF280" s="9" t="str">
        <f ca="1">IF(AND(Y280,AA280="ERREUR"),COUNTIF($AA$2:$AA280,"ERREUR"),"")</f>
        <v/>
      </c>
    </row>
    <row r="281" spans="23:32" ht="25" customHeight="1">
      <c r="W281" s="19">
        <f t="shared" ca="1" si="48"/>
        <v>46189</v>
      </c>
      <c r="X281" s="9" t="str">
        <f t="shared" ca="1" si="49"/>
        <v>16062026</v>
      </c>
      <c r="Y281" s="9" t="b">
        <f t="shared" ca="1" si="50"/>
        <v>0</v>
      </c>
      <c r="Z281" s="9" t="str">
        <f ca="1">IF(Y281,COUNTIF($Y$2:$Y281,TRUE),"")</f>
        <v/>
      </c>
      <c r="AA281" s="9" t="str">
        <f t="shared" ca="1" si="51"/>
        <v/>
      </c>
      <c r="AB281" s="9" t="str">
        <f t="shared" ca="1" si="52"/>
        <v/>
      </c>
      <c r="AC281" s="9" t="str">
        <f t="shared" ca="1" si="53"/>
        <v/>
      </c>
      <c r="AD281" s="9" t="str">
        <f t="shared" ca="1" si="54"/>
        <v/>
      </c>
      <c r="AE281" s="9" t="str">
        <f t="shared" ca="1" si="55"/>
        <v/>
      </c>
      <c r="AF281" s="9" t="str">
        <f ca="1">IF(AND(Y281,AA281="ERREUR"),COUNTIF($AA$2:$AA281,"ERREUR"),"")</f>
        <v/>
      </c>
    </row>
    <row r="282" spans="23:32" ht="25" customHeight="1">
      <c r="W282" s="19">
        <f t="shared" ca="1" si="48"/>
        <v>46188</v>
      </c>
      <c r="X282" s="9" t="str">
        <f t="shared" ca="1" si="49"/>
        <v>15062026</v>
      </c>
      <c r="Y282" s="9" t="b">
        <f t="shared" ca="1" si="50"/>
        <v>0</v>
      </c>
      <c r="Z282" s="9" t="str">
        <f ca="1">IF(Y282,COUNTIF($Y$2:$Y282,TRUE),"")</f>
        <v/>
      </c>
      <c r="AA282" s="9" t="str">
        <f t="shared" ca="1" si="51"/>
        <v/>
      </c>
      <c r="AB282" s="9" t="str">
        <f t="shared" ca="1" si="52"/>
        <v/>
      </c>
      <c r="AC282" s="9" t="str">
        <f t="shared" ca="1" si="53"/>
        <v/>
      </c>
      <c r="AD282" s="9" t="str">
        <f t="shared" ca="1" si="54"/>
        <v/>
      </c>
      <c r="AE282" s="9" t="str">
        <f t="shared" ca="1" si="55"/>
        <v/>
      </c>
      <c r="AF282" s="9" t="str">
        <f ca="1">IF(AND(Y282,AA282="ERREUR"),COUNTIF($AA$2:$AA282,"ERREUR"),"")</f>
        <v/>
      </c>
    </row>
    <row r="283" spans="23:32" ht="25" customHeight="1">
      <c r="W283" s="19">
        <f t="shared" ca="1" si="48"/>
        <v>46187</v>
      </c>
      <c r="X283" s="9" t="str">
        <f t="shared" ca="1" si="49"/>
        <v>14062026</v>
      </c>
      <c r="Y283" s="9" t="b">
        <f t="shared" ca="1" si="50"/>
        <v>0</v>
      </c>
      <c r="Z283" s="9" t="str">
        <f ca="1">IF(Y283,COUNTIF($Y$2:$Y283,TRUE),"")</f>
        <v/>
      </c>
      <c r="AA283" s="9" t="str">
        <f t="shared" ca="1" si="51"/>
        <v/>
      </c>
      <c r="AB283" s="9" t="str">
        <f t="shared" ca="1" si="52"/>
        <v/>
      </c>
      <c r="AC283" s="9" t="str">
        <f t="shared" ca="1" si="53"/>
        <v/>
      </c>
      <c r="AD283" s="9" t="str">
        <f t="shared" ca="1" si="54"/>
        <v/>
      </c>
      <c r="AE283" s="9" t="str">
        <f t="shared" ca="1" si="55"/>
        <v/>
      </c>
      <c r="AF283" s="9" t="str">
        <f ca="1">IF(AND(Y283,AA283="ERREUR"),COUNTIF($AA$2:$AA283,"ERREUR"),"")</f>
        <v/>
      </c>
    </row>
    <row r="284" spans="23:32" ht="25" customHeight="1">
      <c r="W284" s="19">
        <f t="shared" ca="1" si="48"/>
        <v>46186</v>
      </c>
      <c r="X284" s="9" t="str">
        <f t="shared" ca="1" si="49"/>
        <v>13062026</v>
      </c>
      <c r="Y284" s="9" t="b">
        <f t="shared" ca="1" si="50"/>
        <v>0</v>
      </c>
      <c r="Z284" s="9" t="str">
        <f ca="1">IF(Y284,COUNTIF($Y$2:$Y284,TRUE),"")</f>
        <v/>
      </c>
      <c r="AA284" s="9" t="str">
        <f t="shared" ca="1" si="51"/>
        <v/>
      </c>
      <c r="AB284" s="9" t="str">
        <f t="shared" ca="1" si="52"/>
        <v/>
      </c>
      <c r="AC284" s="9" t="str">
        <f t="shared" ca="1" si="53"/>
        <v/>
      </c>
      <c r="AD284" s="9" t="str">
        <f t="shared" ca="1" si="54"/>
        <v/>
      </c>
      <c r="AE284" s="9" t="str">
        <f t="shared" ca="1" si="55"/>
        <v/>
      </c>
      <c r="AF284" s="9" t="str">
        <f ca="1">IF(AND(Y284,AA284="ERREUR"),COUNTIF($AA$2:$AA284,"ERREUR"),"")</f>
        <v/>
      </c>
    </row>
    <row r="285" spans="23:32" ht="25" customHeight="1">
      <c r="W285" s="19">
        <f t="shared" ca="1" si="48"/>
        <v>46185</v>
      </c>
      <c r="X285" s="9" t="str">
        <f t="shared" ca="1" si="49"/>
        <v>12062026</v>
      </c>
      <c r="Y285" s="9" t="b">
        <f t="shared" ca="1" si="50"/>
        <v>0</v>
      </c>
      <c r="Z285" s="9" t="str">
        <f ca="1">IF(Y285,COUNTIF($Y$2:$Y285,TRUE),"")</f>
        <v/>
      </c>
      <c r="AA285" s="9" t="str">
        <f t="shared" ca="1" si="51"/>
        <v/>
      </c>
      <c r="AB285" s="9" t="str">
        <f t="shared" ca="1" si="52"/>
        <v/>
      </c>
      <c r="AC285" s="9" t="str">
        <f t="shared" ca="1" si="53"/>
        <v/>
      </c>
      <c r="AD285" s="9" t="str">
        <f t="shared" ca="1" si="54"/>
        <v/>
      </c>
      <c r="AE285" s="9" t="str">
        <f t="shared" ca="1" si="55"/>
        <v/>
      </c>
      <c r="AF285" s="9" t="str">
        <f ca="1">IF(AND(Y285,AA285="ERREUR"),COUNTIF($AA$2:$AA285,"ERREUR"),"")</f>
        <v/>
      </c>
    </row>
    <row r="286" spans="23:32" ht="25" customHeight="1">
      <c r="W286" s="19">
        <f t="shared" ca="1" si="48"/>
        <v>46184</v>
      </c>
      <c r="X286" s="9" t="str">
        <f t="shared" ca="1" si="49"/>
        <v>11062026</v>
      </c>
      <c r="Y286" s="9" t="b">
        <f t="shared" ca="1" si="50"/>
        <v>0</v>
      </c>
      <c r="Z286" s="9" t="str">
        <f ca="1">IF(Y286,COUNTIF($Y$2:$Y286,TRUE),"")</f>
        <v/>
      </c>
      <c r="AA286" s="9" t="str">
        <f t="shared" ca="1" si="51"/>
        <v/>
      </c>
      <c r="AB286" s="9" t="str">
        <f t="shared" ca="1" si="52"/>
        <v/>
      </c>
      <c r="AC286" s="9" t="str">
        <f t="shared" ca="1" si="53"/>
        <v/>
      </c>
      <c r="AD286" s="9" t="str">
        <f t="shared" ca="1" si="54"/>
        <v/>
      </c>
      <c r="AE286" s="9" t="str">
        <f t="shared" ca="1" si="55"/>
        <v/>
      </c>
      <c r="AF286" s="9" t="str">
        <f ca="1">IF(AND(Y286,AA286="ERREUR"),COUNTIF($AA$2:$AA286,"ERREUR"),"")</f>
        <v/>
      </c>
    </row>
    <row r="287" spans="23:32" ht="25" customHeight="1">
      <c r="W287" s="19">
        <f t="shared" ca="1" si="48"/>
        <v>46183</v>
      </c>
      <c r="X287" s="9" t="str">
        <f t="shared" ca="1" si="49"/>
        <v>10062026</v>
      </c>
      <c r="Y287" s="9" t="b">
        <f t="shared" ca="1" si="50"/>
        <v>0</v>
      </c>
      <c r="Z287" s="9" t="str">
        <f ca="1">IF(Y287,COUNTIF($Y$2:$Y287,TRUE),"")</f>
        <v/>
      </c>
      <c r="AA287" s="9" t="str">
        <f t="shared" ca="1" si="51"/>
        <v/>
      </c>
      <c r="AB287" s="9" t="str">
        <f t="shared" ca="1" si="52"/>
        <v/>
      </c>
      <c r="AC287" s="9" t="str">
        <f t="shared" ca="1" si="53"/>
        <v/>
      </c>
      <c r="AD287" s="9" t="str">
        <f t="shared" ca="1" si="54"/>
        <v/>
      </c>
      <c r="AE287" s="9" t="str">
        <f t="shared" ca="1" si="55"/>
        <v/>
      </c>
      <c r="AF287" s="9" t="str">
        <f ca="1">IF(AND(Y287,AA287="ERREUR"),COUNTIF($AA$2:$AA287,"ERREUR"),"")</f>
        <v/>
      </c>
    </row>
    <row r="288" spans="23:32" ht="25" customHeight="1">
      <c r="W288" s="19">
        <f t="shared" ca="1" si="48"/>
        <v>46182</v>
      </c>
      <c r="X288" s="9" t="str">
        <f t="shared" ca="1" si="49"/>
        <v>09062026</v>
      </c>
      <c r="Y288" s="9" t="b">
        <f t="shared" ca="1" si="50"/>
        <v>0</v>
      </c>
      <c r="Z288" s="9" t="str">
        <f ca="1">IF(Y288,COUNTIF($Y$2:$Y288,TRUE),"")</f>
        <v/>
      </c>
      <c r="AA288" s="9" t="str">
        <f t="shared" ca="1" si="51"/>
        <v/>
      </c>
      <c r="AB288" s="9" t="str">
        <f t="shared" ca="1" si="52"/>
        <v/>
      </c>
      <c r="AC288" s="9" t="str">
        <f t="shared" ca="1" si="53"/>
        <v/>
      </c>
      <c r="AD288" s="9" t="str">
        <f t="shared" ca="1" si="54"/>
        <v/>
      </c>
      <c r="AE288" s="9" t="str">
        <f t="shared" ca="1" si="55"/>
        <v/>
      </c>
      <c r="AF288" s="9" t="str">
        <f ca="1">IF(AND(Y288,AA288="ERREUR"),COUNTIF($AA$2:$AA288,"ERREUR"),"")</f>
        <v/>
      </c>
    </row>
    <row r="289" spans="23:32" ht="25" customHeight="1">
      <c r="W289" s="19">
        <f t="shared" ca="1" si="48"/>
        <v>46181</v>
      </c>
      <c r="X289" s="9" t="str">
        <f t="shared" ca="1" si="49"/>
        <v>08062026</v>
      </c>
      <c r="Y289" s="9" t="b">
        <f t="shared" ca="1" si="50"/>
        <v>0</v>
      </c>
      <c r="Z289" s="9" t="str">
        <f ca="1">IF(Y289,COUNTIF($Y$2:$Y289,TRUE),"")</f>
        <v/>
      </c>
      <c r="AA289" s="9" t="str">
        <f t="shared" ca="1" si="51"/>
        <v/>
      </c>
      <c r="AB289" s="9" t="str">
        <f t="shared" ca="1" si="52"/>
        <v/>
      </c>
      <c r="AC289" s="9" t="str">
        <f t="shared" ca="1" si="53"/>
        <v/>
      </c>
      <c r="AD289" s="9" t="str">
        <f t="shared" ca="1" si="54"/>
        <v/>
      </c>
      <c r="AE289" s="9" t="str">
        <f t="shared" ca="1" si="55"/>
        <v/>
      </c>
      <c r="AF289" s="9" t="str">
        <f ca="1">IF(AND(Y289,AA289="ERREUR"),COUNTIF($AA$2:$AA289,"ERREUR"),"")</f>
        <v/>
      </c>
    </row>
    <row r="290" spans="23:32" ht="25" customHeight="1">
      <c r="W290" s="19">
        <f t="shared" ca="1" si="48"/>
        <v>46180</v>
      </c>
      <c r="X290" s="9" t="str">
        <f t="shared" ca="1" si="49"/>
        <v>07062026</v>
      </c>
      <c r="Y290" s="9" t="b">
        <f t="shared" ca="1" si="50"/>
        <v>0</v>
      </c>
      <c r="Z290" s="9" t="str">
        <f ca="1">IF(Y290,COUNTIF($Y$2:$Y290,TRUE),"")</f>
        <v/>
      </c>
      <c r="AA290" s="9" t="str">
        <f t="shared" ca="1" si="51"/>
        <v/>
      </c>
      <c r="AB290" s="9" t="str">
        <f t="shared" ca="1" si="52"/>
        <v/>
      </c>
      <c r="AC290" s="9" t="str">
        <f t="shared" ca="1" si="53"/>
        <v/>
      </c>
      <c r="AD290" s="9" t="str">
        <f t="shared" ca="1" si="54"/>
        <v/>
      </c>
      <c r="AE290" s="9" t="str">
        <f t="shared" ca="1" si="55"/>
        <v/>
      </c>
      <c r="AF290" s="9" t="str">
        <f ca="1">IF(AND(Y290,AA290="ERREUR"),COUNTIF($AA$2:$AA290,"ERREUR"),"")</f>
        <v/>
      </c>
    </row>
    <row r="291" spans="23:32" ht="25" customHeight="1">
      <c r="W291" s="19">
        <f t="shared" ca="1" si="48"/>
        <v>46179</v>
      </c>
      <c r="X291" s="9" t="str">
        <f t="shared" ca="1" si="49"/>
        <v>06062026</v>
      </c>
      <c r="Y291" s="9" t="b">
        <f t="shared" ca="1" si="50"/>
        <v>0</v>
      </c>
      <c r="Z291" s="9" t="str">
        <f ca="1">IF(Y291,COUNTIF($Y$2:$Y291,TRUE),"")</f>
        <v/>
      </c>
      <c r="AA291" s="9" t="str">
        <f t="shared" ca="1" si="51"/>
        <v/>
      </c>
      <c r="AB291" s="9" t="str">
        <f t="shared" ca="1" si="52"/>
        <v/>
      </c>
      <c r="AC291" s="9" t="str">
        <f t="shared" ca="1" si="53"/>
        <v/>
      </c>
      <c r="AD291" s="9" t="str">
        <f t="shared" ca="1" si="54"/>
        <v/>
      </c>
      <c r="AE291" s="9" t="str">
        <f t="shared" ca="1" si="55"/>
        <v/>
      </c>
      <c r="AF291" s="9" t="str">
        <f ca="1">IF(AND(Y291,AA291="ERREUR"),COUNTIF($AA$2:$AA291,"ERREUR"),"")</f>
        <v/>
      </c>
    </row>
    <row r="292" spans="23:32" ht="25" customHeight="1">
      <c r="W292" s="19">
        <f t="shared" ca="1" si="48"/>
        <v>46178</v>
      </c>
      <c r="X292" s="9" t="str">
        <f t="shared" ca="1" si="49"/>
        <v>05062026</v>
      </c>
      <c r="Y292" s="9" t="b">
        <f t="shared" ca="1" si="50"/>
        <v>0</v>
      </c>
      <c r="Z292" s="9" t="str">
        <f ca="1">IF(Y292,COUNTIF($Y$2:$Y292,TRUE),"")</f>
        <v/>
      </c>
      <c r="AA292" s="9" t="str">
        <f t="shared" ca="1" si="51"/>
        <v/>
      </c>
      <c r="AB292" s="9" t="str">
        <f t="shared" ca="1" si="52"/>
        <v/>
      </c>
      <c r="AC292" s="9" t="str">
        <f t="shared" ca="1" si="53"/>
        <v/>
      </c>
      <c r="AD292" s="9" t="str">
        <f t="shared" ca="1" si="54"/>
        <v/>
      </c>
      <c r="AE292" s="9" t="str">
        <f t="shared" ca="1" si="55"/>
        <v/>
      </c>
      <c r="AF292" s="9" t="str">
        <f ca="1">IF(AND(Y292,AA292="ERREUR"),COUNTIF($AA$2:$AA292,"ERREUR"),"")</f>
        <v/>
      </c>
    </row>
    <row r="293" spans="23:32" ht="25" customHeight="1">
      <c r="W293" s="19">
        <f t="shared" ca="1" si="48"/>
        <v>46177</v>
      </c>
      <c r="X293" s="9" t="str">
        <f t="shared" ca="1" si="49"/>
        <v>04062026</v>
      </c>
      <c r="Y293" s="9" t="b">
        <f t="shared" ca="1" si="50"/>
        <v>0</v>
      </c>
      <c r="Z293" s="9" t="str">
        <f ca="1">IF(Y293,COUNTIF($Y$2:$Y293,TRUE),"")</f>
        <v/>
      </c>
      <c r="AA293" s="9" t="str">
        <f t="shared" ca="1" si="51"/>
        <v/>
      </c>
      <c r="AB293" s="9" t="str">
        <f t="shared" ca="1" si="52"/>
        <v/>
      </c>
      <c r="AC293" s="9" t="str">
        <f t="shared" ca="1" si="53"/>
        <v/>
      </c>
      <c r="AD293" s="9" t="str">
        <f t="shared" ca="1" si="54"/>
        <v/>
      </c>
      <c r="AE293" s="9" t="str">
        <f t="shared" ca="1" si="55"/>
        <v/>
      </c>
      <c r="AF293" s="9" t="str">
        <f ca="1">IF(AND(Y293,AA293="ERREUR"),COUNTIF($AA$2:$AA293,"ERREUR"),"")</f>
        <v/>
      </c>
    </row>
    <row r="294" spans="23:32" ht="25" customHeight="1">
      <c r="W294" s="19">
        <f t="shared" ca="1" si="48"/>
        <v>46176</v>
      </c>
      <c r="X294" s="9" t="str">
        <f t="shared" ca="1" si="49"/>
        <v>03062026</v>
      </c>
      <c r="Y294" s="9" t="b">
        <f t="shared" ca="1" si="50"/>
        <v>0</v>
      </c>
      <c r="Z294" s="9" t="str">
        <f ca="1">IF(Y294,COUNTIF($Y$2:$Y294,TRUE),"")</f>
        <v/>
      </c>
      <c r="AA294" s="9" t="str">
        <f t="shared" ca="1" si="51"/>
        <v/>
      </c>
      <c r="AB294" s="9" t="str">
        <f t="shared" ca="1" si="52"/>
        <v/>
      </c>
      <c r="AC294" s="9" t="str">
        <f t="shared" ca="1" si="53"/>
        <v/>
      </c>
      <c r="AD294" s="9" t="str">
        <f t="shared" ca="1" si="54"/>
        <v/>
      </c>
      <c r="AE294" s="9" t="str">
        <f t="shared" ca="1" si="55"/>
        <v/>
      </c>
      <c r="AF294" s="9" t="str">
        <f ca="1">IF(AND(Y294,AA294="ERREUR"),COUNTIF($AA$2:$AA294,"ERREUR"),"")</f>
        <v/>
      </c>
    </row>
    <row r="295" spans="23:32" ht="25" customHeight="1">
      <c r="W295" s="19">
        <f t="shared" ca="1" si="48"/>
        <v>46175</v>
      </c>
      <c r="X295" s="9" t="str">
        <f t="shared" ca="1" si="49"/>
        <v>02062026</v>
      </c>
      <c r="Y295" s="9" t="b">
        <f t="shared" ca="1" si="50"/>
        <v>0</v>
      </c>
      <c r="Z295" s="9" t="str">
        <f ca="1">IF(Y295,COUNTIF($Y$2:$Y295,TRUE),"")</f>
        <v/>
      </c>
      <c r="AA295" s="9" t="str">
        <f t="shared" ca="1" si="51"/>
        <v/>
      </c>
      <c r="AB295" s="9" t="str">
        <f t="shared" ca="1" si="52"/>
        <v/>
      </c>
      <c r="AC295" s="9" t="str">
        <f t="shared" ca="1" si="53"/>
        <v/>
      </c>
      <c r="AD295" s="9" t="str">
        <f t="shared" ca="1" si="54"/>
        <v/>
      </c>
      <c r="AE295" s="9" t="str">
        <f t="shared" ca="1" si="55"/>
        <v/>
      </c>
      <c r="AF295" s="9" t="str">
        <f ca="1">IF(AND(Y295,AA295="ERREUR"),COUNTIF($AA$2:$AA295,"ERREUR"),"")</f>
        <v/>
      </c>
    </row>
    <row r="296" spans="23:32" ht="25" customHeight="1">
      <c r="W296" s="19">
        <f t="shared" ca="1" si="48"/>
        <v>46174</v>
      </c>
      <c r="X296" s="9" t="str">
        <f t="shared" ca="1" si="49"/>
        <v>01062026</v>
      </c>
      <c r="Y296" s="9" t="b">
        <f t="shared" ca="1" si="50"/>
        <v>0</v>
      </c>
      <c r="Z296" s="9" t="str">
        <f ca="1">IF(Y296,COUNTIF($Y$2:$Y296,TRUE),"")</f>
        <v/>
      </c>
      <c r="AA296" s="9" t="str">
        <f t="shared" ca="1" si="51"/>
        <v/>
      </c>
      <c r="AB296" s="9" t="str">
        <f t="shared" ca="1" si="52"/>
        <v/>
      </c>
      <c r="AC296" s="9" t="str">
        <f t="shared" ca="1" si="53"/>
        <v/>
      </c>
      <c r="AD296" s="9" t="str">
        <f t="shared" ca="1" si="54"/>
        <v/>
      </c>
      <c r="AE296" s="9" t="str">
        <f t="shared" ca="1" si="55"/>
        <v/>
      </c>
      <c r="AF296" s="9" t="str">
        <f ca="1">IF(AND(Y296,AA296="ERREUR"),COUNTIF($AA$2:$AA296,"ERREUR"),"")</f>
        <v/>
      </c>
    </row>
    <row r="297" spans="23:32" ht="25" customHeight="1">
      <c r="W297" s="19">
        <f t="shared" ca="1" si="48"/>
        <v>46173</v>
      </c>
      <c r="X297" s="9" t="str">
        <f t="shared" ca="1" si="49"/>
        <v>31052026</v>
      </c>
      <c r="Y297" s="9" t="b">
        <f t="shared" ca="1" si="50"/>
        <v>0</v>
      </c>
      <c r="Z297" s="9" t="str">
        <f ca="1">IF(Y297,COUNTIF($Y$2:$Y297,TRUE),"")</f>
        <v/>
      </c>
      <c r="AA297" s="9" t="str">
        <f t="shared" ca="1" si="51"/>
        <v/>
      </c>
      <c r="AB297" s="9" t="str">
        <f t="shared" ca="1" si="52"/>
        <v/>
      </c>
      <c r="AC297" s="9" t="str">
        <f t="shared" ca="1" si="53"/>
        <v/>
      </c>
      <c r="AD297" s="9" t="str">
        <f t="shared" ca="1" si="54"/>
        <v/>
      </c>
      <c r="AE297" s="9" t="str">
        <f t="shared" ca="1" si="55"/>
        <v/>
      </c>
      <c r="AF297" s="9" t="str">
        <f ca="1">IF(AND(Y297,AA297="ERREUR"),COUNTIF($AA$2:$AA297,"ERREUR"),"")</f>
        <v/>
      </c>
    </row>
    <row r="298" spans="23:32" ht="25" customHeight="1">
      <c r="W298" s="19">
        <f t="shared" ca="1" si="48"/>
        <v>46172</v>
      </c>
      <c r="X298" s="9" t="str">
        <f t="shared" ca="1" si="49"/>
        <v>30052026</v>
      </c>
      <c r="Y298" s="9" t="b">
        <f t="shared" ca="1" si="50"/>
        <v>0</v>
      </c>
      <c r="Z298" s="9" t="str">
        <f ca="1">IF(Y298,COUNTIF($Y$2:$Y298,TRUE),"")</f>
        <v/>
      </c>
      <c r="AA298" s="9" t="str">
        <f t="shared" ca="1" si="51"/>
        <v/>
      </c>
      <c r="AB298" s="9" t="str">
        <f t="shared" ca="1" si="52"/>
        <v/>
      </c>
      <c r="AC298" s="9" t="str">
        <f t="shared" ca="1" si="53"/>
        <v/>
      </c>
      <c r="AD298" s="9" t="str">
        <f t="shared" ca="1" si="54"/>
        <v/>
      </c>
      <c r="AE298" s="9" t="str">
        <f t="shared" ca="1" si="55"/>
        <v/>
      </c>
      <c r="AF298" s="9" t="str">
        <f ca="1">IF(AND(Y298,AA298="ERREUR"),COUNTIF($AA$2:$AA298,"ERREUR"),"")</f>
        <v/>
      </c>
    </row>
    <row r="299" spans="23:32" ht="25" customHeight="1">
      <c r="W299" s="19">
        <f t="shared" ca="1" si="48"/>
        <v>46171</v>
      </c>
      <c r="X299" s="9" t="str">
        <f t="shared" ca="1" si="49"/>
        <v>29052026</v>
      </c>
      <c r="Y299" s="9" t="b">
        <f t="shared" ca="1" si="50"/>
        <v>0</v>
      </c>
      <c r="Z299" s="9" t="str">
        <f ca="1">IF(Y299,COUNTIF($Y$2:$Y299,TRUE),"")</f>
        <v/>
      </c>
      <c r="AA299" s="9" t="str">
        <f t="shared" ca="1" si="51"/>
        <v/>
      </c>
      <c r="AB299" s="9" t="str">
        <f t="shared" ca="1" si="52"/>
        <v/>
      </c>
      <c r="AC299" s="9" t="str">
        <f t="shared" ca="1" si="53"/>
        <v/>
      </c>
      <c r="AD299" s="9" t="str">
        <f t="shared" ca="1" si="54"/>
        <v/>
      </c>
      <c r="AE299" s="9" t="str">
        <f t="shared" ca="1" si="55"/>
        <v/>
      </c>
      <c r="AF299" s="9" t="str">
        <f ca="1">IF(AND(Y299,AA299="ERREUR"),COUNTIF($AA$2:$AA299,"ERREUR"),"")</f>
        <v/>
      </c>
    </row>
    <row r="300" spans="23:32" ht="25" customHeight="1">
      <c r="W300" s="19">
        <f t="shared" ca="1" si="48"/>
        <v>46170</v>
      </c>
      <c r="X300" s="9" t="str">
        <f t="shared" ca="1" si="49"/>
        <v>28052026</v>
      </c>
      <c r="Y300" s="9" t="b">
        <f t="shared" ca="1" si="50"/>
        <v>0</v>
      </c>
      <c r="Z300" s="9" t="str">
        <f ca="1">IF(Y300,COUNTIF($Y$2:$Y300,TRUE),"")</f>
        <v/>
      </c>
      <c r="AA300" s="9" t="str">
        <f t="shared" ca="1" si="51"/>
        <v/>
      </c>
      <c r="AB300" s="9" t="str">
        <f t="shared" ca="1" si="52"/>
        <v/>
      </c>
      <c r="AC300" s="9" t="str">
        <f t="shared" ca="1" si="53"/>
        <v/>
      </c>
      <c r="AD300" s="9" t="str">
        <f t="shared" ca="1" si="54"/>
        <v/>
      </c>
      <c r="AE300" s="9" t="str">
        <f t="shared" ca="1" si="55"/>
        <v/>
      </c>
      <c r="AF300" s="9" t="str">
        <f ca="1">IF(AND(Y300,AA300="ERREUR"),COUNTIF($AA$2:$AA300,"ERREUR"),"")</f>
        <v/>
      </c>
    </row>
    <row r="301" spans="23:32" ht="25" customHeight="1">
      <c r="W301" s="19">
        <f t="shared" ca="1" si="48"/>
        <v>46169</v>
      </c>
      <c r="X301" s="9" t="str">
        <f t="shared" ca="1" si="49"/>
        <v>27052026</v>
      </c>
      <c r="Y301" s="9" t="b">
        <f t="shared" ca="1" si="50"/>
        <v>0</v>
      </c>
      <c r="Z301" s="9" t="str">
        <f ca="1">IF(Y301,COUNTIF($Y$2:$Y301,TRUE),"")</f>
        <v/>
      </c>
      <c r="AA301" s="9" t="str">
        <f t="shared" ca="1" si="51"/>
        <v/>
      </c>
      <c r="AB301" s="9" t="str">
        <f t="shared" ca="1" si="52"/>
        <v/>
      </c>
      <c r="AC301" s="9" t="str">
        <f t="shared" ca="1" si="53"/>
        <v/>
      </c>
      <c r="AD301" s="9" t="str">
        <f t="shared" ca="1" si="54"/>
        <v/>
      </c>
      <c r="AE301" s="9" t="str">
        <f t="shared" ca="1" si="55"/>
        <v/>
      </c>
      <c r="AF301" s="9" t="str">
        <f ca="1">IF(AND(Y301,AA301="ERREUR"),COUNTIF($AA$2:$AA301,"ERREUR"),"")</f>
        <v/>
      </c>
    </row>
    <row r="302" spans="23:32" ht="25" customHeight="1">
      <c r="W302" s="19">
        <f t="shared" ca="1" si="48"/>
        <v>46168</v>
      </c>
      <c r="X302" s="9" t="str">
        <f t="shared" ca="1" si="49"/>
        <v>26052026</v>
      </c>
      <c r="Y302" s="9" t="b">
        <f t="shared" ca="1" si="50"/>
        <v>0</v>
      </c>
      <c r="Z302" s="9" t="str">
        <f ca="1">IF(Y302,COUNTIF($Y$2:$Y302,TRUE),"")</f>
        <v/>
      </c>
      <c r="AA302" s="9" t="str">
        <f t="shared" ca="1" si="51"/>
        <v/>
      </c>
      <c r="AB302" s="9" t="str">
        <f t="shared" ca="1" si="52"/>
        <v/>
      </c>
      <c r="AC302" s="9" t="str">
        <f t="shared" ca="1" si="53"/>
        <v/>
      </c>
      <c r="AD302" s="9" t="str">
        <f t="shared" ca="1" si="54"/>
        <v/>
      </c>
      <c r="AE302" s="9" t="str">
        <f t="shared" ca="1" si="55"/>
        <v/>
      </c>
      <c r="AF302" s="9" t="str">
        <f ca="1">IF(AND(Y302,AA302="ERREUR"),COUNTIF($AA$2:$AA302,"ERREUR"),"")</f>
        <v/>
      </c>
    </row>
    <row r="303" spans="23:32" ht="25" customHeight="1">
      <c r="W303" s="19">
        <f t="shared" ca="1" si="48"/>
        <v>46167</v>
      </c>
      <c r="X303" s="9" t="str">
        <f t="shared" ca="1" si="49"/>
        <v>25052026</v>
      </c>
      <c r="Y303" s="9" t="b">
        <f t="shared" ca="1" si="50"/>
        <v>0</v>
      </c>
      <c r="Z303" s="9" t="str">
        <f ca="1">IF(Y303,COUNTIF($Y$2:$Y303,TRUE),"")</f>
        <v/>
      </c>
      <c r="AA303" s="9" t="str">
        <f t="shared" ca="1" si="51"/>
        <v/>
      </c>
      <c r="AB303" s="9" t="str">
        <f t="shared" ca="1" si="52"/>
        <v/>
      </c>
      <c r="AC303" s="9" t="str">
        <f t="shared" ca="1" si="53"/>
        <v/>
      </c>
      <c r="AD303" s="9" t="str">
        <f t="shared" ca="1" si="54"/>
        <v/>
      </c>
      <c r="AE303" s="9" t="str">
        <f t="shared" ca="1" si="55"/>
        <v/>
      </c>
      <c r="AF303" s="9" t="str">
        <f ca="1">IF(AND(Y303,AA303="ERREUR"),COUNTIF($AA$2:$AA303,"ERREUR"),"")</f>
        <v/>
      </c>
    </row>
    <row r="304" spans="23:32" ht="25" customHeight="1">
      <c r="W304" s="19">
        <f t="shared" ca="1" si="48"/>
        <v>46166</v>
      </c>
      <c r="X304" s="9" t="str">
        <f t="shared" ca="1" si="49"/>
        <v>24052026</v>
      </c>
      <c r="Y304" s="9" t="b">
        <f t="shared" ca="1" si="50"/>
        <v>0</v>
      </c>
      <c r="Z304" s="9" t="str">
        <f ca="1">IF(Y304,COUNTIF($Y$2:$Y304,TRUE),"")</f>
        <v/>
      </c>
      <c r="AA304" s="9" t="str">
        <f t="shared" ca="1" si="51"/>
        <v/>
      </c>
      <c r="AB304" s="9" t="str">
        <f t="shared" ca="1" si="52"/>
        <v/>
      </c>
      <c r="AC304" s="9" t="str">
        <f t="shared" ca="1" si="53"/>
        <v/>
      </c>
      <c r="AD304" s="9" t="str">
        <f t="shared" ca="1" si="54"/>
        <v/>
      </c>
      <c r="AE304" s="9" t="str">
        <f t="shared" ca="1" si="55"/>
        <v/>
      </c>
      <c r="AF304" s="9" t="str">
        <f ca="1">IF(AND(Y304,AA304="ERREUR"),COUNTIF($AA$2:$AA304,"ERREUR"),"")</f>
        <v/>
      </c>
    </row>
    <row r="305" spans="23:32" ht="25" customHeight="1">
      <c r="W305" s="19">
        <f t="shared" ca="1" si="48"/>
        <v>46165</v>
      </c>
      <c r="X305" s="9" t="str">
        <f t="shared" ca="1" si="49"/>
        <v>23052026</v>
      </c>
      <c r="Y305" s="9" t="b">
        <f t="shared" ca="1" si="50"/>
        <v>0</v>
      </c>
      <c r="Z305" s="9" t="str">
        <f ca="1">IF(Y305,COUNTIF($Y$2:$Y305,TRUE),"")</f>
        <v/>
      </c>
      <c r="AA305" s="9" t="str">
        <f t="shared" ca="1" si="51"/>
        <v/>
      </c>
      <c r="AB305" s="9" t="str">
        <f t="shared" ca="1" si="52"/>
        <v/>
      </c>
      <c r="AC305" s="9" t="str">
        <f t="shared" ca="1" si="53"/>
        <v/>
      </c>
      <c r="AD305" s="9" t="str">
        <f t="shared" ca="1" si="54"/>
        <v/>
      </c>
      <c r="AE305" s="9" t="str">
        <f t="shared" ca="1" si="55"/>
        <v/>
      </c>
      <c r="AF305" s="9" t="str">
        <f ca="1">IF(AND(Y305,AA305="ERREUR"),COUNTIF($AA$2:$AA305,"ERREUR"),"")</f>
        <v/>
      </c>
    </row>
    <row r="306" spans="23:32" ht="25" customHeight="1">
      <c r="W306" s="19">
        <f t="shared" ca="1" si="48"/>
        <v>46164</v>
      </c>
      <c r="X306" s="9" t="str">
        <f t="shared" ca="1" si="49"/>
        <v>22052026</v>
      </c>
      <c r="Y306" s="9" t="b">
        <f t="shared" ca="1" si="50"/>
        <v>0</v>
      </c>
      <c r="Z306" s="9" t="str">
        <f ca="1">IF(Y306,COUNTIF($Y$2:$Y306,TRUE),"")</f>
        <v/>
      </c>
      <c r="AA306" s="9" t="str">
        <f t="shared" ca="1" si="51"/>
        <v/>
      </c>
      <c r="AB306" s="9" t="str">
        <f t="shared" ca="1" si="52"/>
        <v/>
      </c>
      <c r="AC306" s="9" t="str">
        <f t="shared" ca="1" si="53"/>
        <v/>
      </c>
      <c r="AD306" s="9" t="str">
        <f t="shared" ca="1" si="54"/>
        <v/>
      </c>
      <c r="AE306" s="9" t="str">
        <f t="shared" ca="1" si="55"/>
        <v/>
      </c>
      <c r="AF306" s="9" t="str">
        <f ca="1">IF(AND(Y306,AA306="ERREUR"),COUNTIF($AA$2:$AA306,"ERREUR"),"")</f>
        <v/>
      </c>
    </row>
    <row r="307" spans="23:32" ht="25" customHeight="1">
      <c r="W307" s="19">
        <f t="shared" ca="1" si="48"/>
        <v>46163</v>
      </c>
      <c r="X307" s="9" t="str">
        <f t="shared" ca="1" si="49"/>
        <v>21052026</v>
      </c>
      <c r="Y307" s="9" t="b">
        <f t="shared" ca="1" si="50"/>
        <v>0</v>
      </c>
      <c r="Z307" s="9" t="str">
        <f ca="1">IF(Y307,COUNTIF($Y$2:$Y307,TRUE),"")</f>
        <v/>
      </c>
      <c r="AA307" s="9" t="str">
        <f t="shared" ca="1" si="51"/>
        <v/>
      </c>
      <c r="AB307" s="9" t="str">
        <f t="shared" ca="1" si="52"/>
        <v/>
      </c>
      <c r="AC307" s="9" t="str">
        <f t="shared" ca="1" si="53"/>
        <v/>
      </c>
      <c r="AD307" s="9" t="str">
        <f t="shared" ca="1" si="54"/>
        <v/>
      </c>
      <c r="AE307" s="9" t="str">
        <f t="shared" ca="1" si="55"/>
        <v/>
      </c>
      <c r="AF307" s="9" t="str">
        <f ca="1">IF(AND(Y307,AA307="ERREUR"),COUNTIF($AA$2:$AA307,"ERREUR"),"")</f>
        <v/>
      </c>
    </row>
    <row r="308" spans="23:32" ht="25" customHeight="1">
      <c r="W308" s="19">
        <f t="shared" ca="1" si="48"/>
        <v>46162</v>
      </c>
      <c r="X308" s="9" t="str">
        <f t="shared" ca="1" si="49"/>
        <v>20052026</v>
      </c>
      <c r="Y308" s="9" t="b">
        <f t="shared" ca="1" si="50"/>
        <v>0</v>
      </c>
      <c r="Z308" s="9" t="str">
        <f ca="1">IF(Y308,COUNTIF($Y$2:$Y308,TRUE),"")</f>
        <v/>
      </c>
      <c r="AA308" s="9" t="str">
        <f t="shared" ca="1" si="51"/>
        <v/>
      </c>
      <c r="AB308" s="9" t="str">
        <f t="shared" ca="1" si="52"/>
        <v/>
      </c>
      <c r="AC308" s="9" t="str">
        <f t="shared" ca="1" si="53"/>
        <v/>
      </c>
      <c r="AD308" s="9" t="str">
        <f t="shared" ca="1" si="54"/>
        <v/>
      </c>
      <c r="AE308" s="9" t="str">
        <f t="shared" ca="1" si="55"/>
        <v/>
      </c>
      <c r="AF308" s="9" t="str">
        <f ca="1">IF(AND(Y308,AA308="ERREUR"),COUNTIF($AA$2:$AA308,"ERREUR"),"")</f>
        <v/>
      </c>
    </row>
    <row r="309" spans="23:32" ht="25" customHeight="1">
      <c r="W309" s="19">
        <f t="shared" ca="1" si="48"/>
        <v>46161</v>
      </c>
      <c r="X309" s="9" t="str">
        <f t="shared" ca="1" si="49"/>
        <v>19052026</v>
      </c>
      <c r="Y309" s="9" t="b">
        <f t="shared" ca="1" si="50"/>
        <v>0</v>
      </c>
      <c r="Z309" s="9" t="str">
        <f ca="1">IF(Y309,COUNTIF($Y$2:$Y309,TRUE),"")</f>
        <v/>
      </c>
      <c r="AA309" s="9" t="str">
        <f t="shared" ca="1" si="51"/>
        <v/>
      </c>
      <c r="AB309" s="9" t="str">
        <f t="shared" ca="1" si="52"/>
        <v/>
      </c>
      <c r="AC309" s="9" t="str">
        <f t="shared" ca="1" si="53"/>
        <v/>
      </c>
      <c r="AD309" s="9" t="str">
        <f t="shared" ca="1" si="54"/>
        <v/>
      </c>
      <c r="AE309" s="9" t="str">
        <f t="shared" ca="1" si="55"/>
        <v/>
      </c>
      <c r="AF309" s="9" t="str">
        <f ca="1">IF(AND(Y309,AA309="ERREUR"),COUNTIF($AA$2:$AA309,"ERREUR"),"")</f>
        <v/>
      </c>
    </row>
    <row r="310" spans="23:32" ht="25" customHeight="1">
      <c r="W310" s="19">
        <f t="shared" ca="1" si="48"/>
        <v>46160</v>
      </c>
      <c r="X310" s="9" t="str">
        <f t="shared" ca="1" si="49"/>
        <v>18052026</v>
      </c>
      <c r="Y310" s="9" t="b">
        <f t="shared" ca="1" si="50"/>
        <v>0</v>
      </c>
      <c r="Z310" s="9" t="str">
        <f ca="1">IF(Y310,COUNTIF($Y$2:$Y310,TRUE),"")</f>
        <v/>
      </c>
      <c r="AA310" s="9" t="str">
        <f t="shared" ca="1" si="51"/>
        <v/>
      </c>
      <c r="AB310" s="9" t="str">
        <f t="shared" ca="1" si="52"/>
        <v/>
      </c>
      <c r="AC310" s="9" t="str">
        <f t="shared" ca="1" si="53"/>
        <v/>
      </c>
      <c r="AD310" s="9" t="str">
        <f t="shared" ca="1" si="54"/>
        <v/>
      </c>
      <c r="AE310" s="9" t="str">
        <f t="shared" ca="1" si="55"/>
        <v/>
      </c>
      <c r="AF310" s="9" t="str">
        <f ca="1">IF(AND(Y310,AA310="ERREUR"),COUNTIF($AA$2:$AA310,"ERREUR"),"")</f>
        <v/>
      </c>
    </row>
    <row r="311" spans="23:32" ht="25" customHeight="1">
      <c r="W311" s="19">
        <f t="shared" ca="1" si="48"/>
        <v>46159</v>
      </c>
      <c r="X311" s="9" t="str">
        <f t="shared" ca="1" si="49"/>
        <v>17052026</v>
      </c>
      <c r="Y311" s="9" t="b">
        <f t="shared" ca="1" si="50"/>
        <v>0</v>
      </c>
      <c r="Z311" s="9" t="str">
        <f ca="1">IF(Y311,COUNTIF($Y$2:$Y311,TRUE),"")</f>
        <v/>
      </c>
      <c r="AA311" s="9" t="str">
        <f t="shared" ca="1" si="51"/>
        <v/>
      </c>
      <c r="AB311" s="9" t="str">
        <f t="shared" ca="1" si="52"/>
        <v/>
      </c>
      <c r="AC311" s="9" t="str">
        <f t="shared" ca="1" si="53"/>
        <v/>
      </c>
      <c r="AD311" s="9" t="str">
        <f t="shared" ca="1" si="54"/>
        <v/>
      </c>
      <c r="AE311" s="9" t="str">
        <f t="shared" ca="1" si="55"/>
        <v/>
      </c>
      <c r="AF311" s="9" t="str">
        <f ca="1">IF(AND(Y311,AA311="ERREUR"),COUNTIF($AA$2:$AA311,"ERREUR"),"")</f>
        <v/>
      </c>
    </row>
    <row r="312" spans="23:32" ht="25" customHeight="1">
      <c r="W312" s="19">
        <f t="shared" ca="1" si="48"/>
        <v>46158</v>
      </c>
      <c r="X312" s="9" t="str">
        <f t="shared" ca="1" si="49"/>
        <v>16052026</v>
      </c>
      <c r="Y312" s="9" t="b">
        <f t="shared" ca="1" si="50"/>
        <v>0</v>
      </c>
      <c r="Z312" s="9" t="str">
        <f ca="1">IF(Y312,COUNTIF($Y$2:$Y312,TRUE),"")</f>
        <v/>
      </c>
      <c r="AA312" s="9" t="str">
        <f t="shared" ca="1" si="51"/>
        <v/>
      </c>
      <c r="AB312" s="9" t="str">
        <f t="shared" ca="1" si="52"/>
        <v/>
      </c>
      <c r="AC312" s="9" t="str">
        <f t="shared" ca="1" si="53"/>
        <v/>
      </c>
      <c r="AD312" s="9" t="str">
        <f t="shared" ca="1" si="54"/>
        <v/>
      </c>
      <c r="AE312" s="9" t="str">
        <f t="shared" ca="1" si="55"/>
        <v/>
      </c>
      <c r="AF312" s="9" t="str">
        <f ca="1">IF(AND(Y312,AA312="ERREUR"),COUNTIF($AA$2:$AA312,"ERREUR"),"")</f>
        <v/>
      </c>
    </row>
    <row r="313" spans="23:32" ht="25" customHeight="1">
      <c r="W313" s="19">
        <f t="shared" ca="1" si="48"/>
        <v>46157</v>
      </c>
      <c r="X313" s="9" t="str">
        <f t="shared" ca="1" si="49"/>
        <v>15052026</v>
      </c>
      <c r="Y313" s="9" t="b">
        <f t="shared" ca="1" si="50"/>
        <v>0</v>
      </c>
      <c r="Z313" s="9" t="str">
        <f ca="1">IF(Y313,COUNTIF($Y$2:$Y313,TRUE),"")</f>
        <v/>
      </c>
      <c r="AA313" s="9" t="str">
        <f t="shared" ca="1" si="51"/>
        <v/>
      </c>
      <c r="AB313" s="9" t="str">
        <f t="shared" ca="1" si="52"/>
        <v/>
      </c>
      <c r="AC313" s="9" t="str">
        <f t="shared" ca="1" si="53"/>
        <v/>
      </c>
      <c r="AD313" s="9" t="str">
        <f t="shared" ca="1" si="54"/>
        <v/>
      </c>
      <c r="AE313" s="9" t="str">
        <f t="shared" ca="1" si="55"/>
        <v/>
      </c>
      <c r="AF313" s="9" t="str">
        <f ca="1">IF(AND(Y313,AA313="ERREUR"),COUNTIF($AA$2:$AA313,"ERREUR"),"")</f>
        <v/>
      </c>
    </row>
    <row r="314" spans="23:32" ht="25" customHeight="1">
      <c r="W314" s="19">
        <f t="shared" ca="1" si="48"/>
        <v>46156</v>
      </c>
      <c r="X314" s="9" t="str">
        <f t="shared" ca="1" si="49"/>
        <v>14052026</v>
      </c>
      <c r="Y314" s="9" t="b">
        <f t="shared" ca="1" si="50"/>
        <v>0</v>
      </c>
      <c r="Z314" s="9" t="str">
        <f ca="1">IF(Y314,COUNTIF($Y$2:$Y314,TRUE),"")</f>
        <v/>
      </c>
      <c r="AA314" s="9" t="str">
        <f t="shared" ca="1" si="51"/>
        <v/>
      </c>
      <c r="AB314" s="9" t="str">
        <f t="shared" ca="1" si="52"/>
        <v/>
      </c>
      <c r="AC314" s="9" t="str">
        <f t="shared" ca="1" si="53"/>
        <v/>
      </c>
      <c r="AD314" s="9" t="str">
        <f t="shared" ca="1" si="54"/>
        <v/>
      </c>
      <c r="AE314" s="9" t="str">
        <f t="shared" ca="1" si="55"/>
        <v/>
      </c>
      <c r="AF314" s="9" t="str">
        <f ca="1">IF(AND(Y314,AA314="ERREUR"),COUNTIF($AA$2:$AA314,"ERREUR"),"")</f>
        <v/>
      </c>
    </row>
    <row r="315" spans="23:32" ht="25" customHeight="1">
      <c r="W315" s="19">
        <f t="shared" ca="1" si="48"/>
        <v>46155</v>
      </c>
      <c r="X315" s="9" t="str">
        <f t="shared" ca="1" si="49"/>
        <v>13052026</v>
      </c>
      <c r="Y315" s="9" t="b">
        <f t="shared" ca="1" si="50"/>
        <v>0</v>
      </c>
      <c r="Z315" s="9" t="str">
        <f ca="1">IF(Y315,COUNTIF($Y$2:$Y315,TRUE),"")</f>
        <v/>
      </c>
      <c r="AA315" s="9" t="str">
        <f t="shared" ca="1" si="51"/>
        <v/>
      </c>
      <c r="AB315" s="9" t="str">
        <f t="shared" ca="1" si="52"/>
        <v/>
      </c>
      <c r="AC315" s="9" t="str">
        <f t="shared" ca="1" si="53"/>
        <v/>
      </c>
      <c r="AD315" s="9" t="str">
        <f t="shared" ca="1" si="54"/>
        <v/>
      </c>
      <c r="AE315" s="9" t="str">
        <f t="shared" ca="1" si="55"/>
        <v/>
      </c>
      <c r="AF315" s="9" t="str">
        <f ca="1">IF(AND(Y315,AA315="ERREUR"),COUNTIF($AA$2:$AA315,"ERREUR"),"")</f>
        <v/>
      </c>
    </row>
    <row r="316" spans="23:32" ht="25" customHeight="1">
      <c r="W316" s="19">
        <f t="shared" ca="1" si="48"/>
        <v>46154</v>
      </c>
      <c r="X316" s="9" t="str">
        <f t="shared" ca="1" si="49"/>
        <v>12052026</v>
      </c>
      <c r="Y316" s="9" t="b">
        <f t="shared" ca="1" si="50"/>
        <v>0</v>
      </c>
      <c r="Z316" s="9" t="str">
        <f ca="1">IF(Y316,COUNTIF($Y$2:$Y316,TRUE),"")</f>
        <v/>
      </c>
      <c r="AA316" s="9" t="str">
        <f t="shared" ca="1" si="51"/>
        <v/>
      </c>
      <c r="AB316" s="9" t="str">
        <f t="shared" ca="1" si="52"/>
        <v/>
      </c>
      <c r="AC316" s="9" t="str">
        <f t="shared" ca="1" si="53"/>
        <v/>
      </c>
      <c r="AD316" s="9" t="str">
        <f t="shared" ca="1" si="54"/>
        <v/>
      </c>
      <c r="AE316" s="9" t="str">
        <f t="shared" ca="1" si="55"/>
        <v/>
      </c>
      <c r="AF316" s="9" t="str">
        <f ca="1">IF(AND(Y316,AA316="ERREUR"),COUNTIF($AA$2:$AA316,"ERREUR"),"")</f>
        <v/>
      </c>
    </row>
    <row r="317" spans="23:32" ht="25" customHeight="1">
      <c r="W317" s="19">
        <f t="shared" ca="1" si="48"/>
        <v>46153</v>
      </c>
      <c r="X317" s="9" t="str">
        <f t="shared" ca="1" si="49"/>
        <v>11052026</v>
      </c>
      <c r="Y317" s="9" t="b">
        <f t="shared" ca="1" si="50"/>
        <v>0</v>
      </c>
      <c r="Z317" s="9" t="str">
        <f ca="1">IF(Y317,COUNTIF($Y$2:$Y317,TRUE),"")</f>
        <v/>
      </c>
      <c r="AA317" s="9" t="str">
        <f t="shared" ca="1" si="51"/>
        <v/>
      </c>
      <c r="AB317" s="9" t="str">
        <f t="shared" ca="1" si="52"/>
        <v/>
      </c>
      <c r="AC317" s="9" t="str">
        <f t="shared" ca="1" si="53"/>
        <v/>
      </c>
      <c r="AD317" s="9" t="str">
        <f t="shared" ca="1" si="54"/>
        <v/>
      </c>
      <c r="AE317" s="9" t="str">
        <f t="shared" ca="1" si="55"/>
        <v/>
      </c>
      <c r="AF317" s="9" t="str">
        <f ca="1">IF(AND(Y317,AA317="ERREUR"),COUNTIF($AA$2:$AA317,"ERREUR"),"")</f>
        <v/>
      </c>
    </row>
    <row r="318" spans="23:32" ht="25" customHeight="1">
      <c r="W318" s="19">
        <f t="shared" ca="1" si="48"/>
        <v>46152</v>
      </c>
      <c r="X318" s="9" t="str">
        <f t="shared" ca="1" si="49"/>
        <v>10052026</v>
      </c>
      <c r="Y318" s="9" t="b">
        <f t="shared" ca="1" si="50"/>
        <v>0</v>
      </c>
      <c r="Z318" s="9" t="str">
        <f ca="1">IF(Y318,COUNTIF($Y$2:$Y318,TRUE),"")</f>
        <v/>
      </c>
      <c r="AA318" s="9" t="str">
        <f t="shared" ca="1" si="51"/>
        <v/>
      </c>
      <c r="AB318" s="9" t="str">
        <f t="shared" ca="1" si="52"/>
        <v/>
      </c>
      <c r="AC318" s="9" t="str">
        <f t="shared" ca="1" si="53"/>
        <v/>
      </c>
      <c r="AD318" s="9" t="str">
        <f t="shared" ca="1" si="54"/>
        <v/>
      </c>
      <c r="AE318" s="9" t="str">
        <f t="shared" ca="1" si="55"/>
        <v/>
      </c>
      <c r="AF318" s="9" t="str">
        <f ca="1">IF(AND(Y318,AA318="ERREUR"),COUNTIF($AA$2:$AA318,"ERREUR"),"")</f>
        <v/>
      </c>
    </row>
    <row r="319" spans="23:32" ht="25" customHeight="1">
      <c r="W319" s="19">
        <f t="shared" ca="1" si="48"/>
        <v>46151</v>
      </c>
      <c r="X319" s="9" t="str">
        <f t="shared" ca="1" si="49"/>
        <v>09052026</v>
      </c>
      <c r="Y319" s="9" t="b">
        <f t="shared" ca="1" si="50"/>
        <v>0</v>
      </c>
      <c r="Z319" s="9" t="str">
        <f ca="1">IF(Y319,COUNTIF($Y$2:$Y319,TRUE),"")</f>
        <v/>
      </c>
      <c r="AA319" s="9" t="str">
        <f t="shared" ca="1" si="51"/>
        <v/>
      </c>
      <c r="AB319" s="9" t="str">
        <f t="shared" ca="1" si="52"/>
        <v/>
      </c>
      <c r="AC319" s="9" t="str">
        <f t="shared" ca="1" si="53"/>
        <v/>
      </c>
      <c r="AD319" s="9" t="str">
        <f t="shared" ca="1" si="54"/>
        <v/>
      </c>
      <c r="AE319" s="9" t="str">
        <f t="shared" ca="1" si="55"/>
        <v/>
      </c>
      <c r="AF319" s="9" t="str">
        <f ca="1">IF(AND(Y319,AA319="ERREUR"),COUNTIF($AA$2:$AA319,"ERREUR"),"")</f>
        <v/>
      </c>
    </row>
    <row r="320" spans="23:32" ht="25" customHeight="1">
      <c r="W320" s="19">
        <f t="shared" ca="1" si="48"/>
        <v>46150</v>
      </c>
      <c r="X320" s="9" t="str">
        <f t="shared" ca="1" si="49"/>
        <v>08052026</v>
      </c>
      <c r="Y320" s="9" t="b">
        <f t="shared" ca="1" si="50"/>
        <v>0</v>
      </c>
      <c r="Z320" s="9" t="str">
        <f ca="1">IF(Y320,COUNTIF($Y$2:$Y320,TRUE),"")</f>
        <v/>
      </c>
      <c r="AA320" s="9" t="str">
        <f t="shared" ca="1" si="51"/>
        <v/>
      </c>
      <c r="AB320" s="9" t="str">
        <f t="shared" ca="1" si="52"/>
        <v/>
      </c>
      <c r="AC320" s="9" t="str">
        <f t="shared" ca="1" si="53"/>
        <v/>
      </c>
      <c r="AD320" s="9" t="str">
        <f t="shared" ca="1" si="54"/>
        <v/>
      </c>
      <c r="AE320" s="9" t="str">
        <f t="shared" ca="1" si="55"/>
        <v/>
      </c>
      <c r="AF320" s="9" t="str">
        <f ca="1">IF(AND(Y320,AA320="ERREUR"),COUNTIF($AA$2:$AA320,"ERREUR"),"")</f>
        <v/>
      </c>
    </row>
    <row r="321" spans="23:32" ht="25" customHeight="1">
      <c r="W321" s="19">
        <f t="shared" ca="1" si="48"/>
        <v>46149</v>
      </c>
      <c r="X321" s="9" t="str">
        <f t="shared" ca="1" si="49"/>
        <v>07052026</v>
      </c>
      <c r="Y321" s="9" t="b">
        <f t="shared" ca="1" si="50"/>
        <v>0</v>
      </c>
      <c r="Z321" s="9" t="str">
        <f ca="1">IF(Y321,COUNTIF($Y$2:$Y321,TRUE),"")</f>
        <v/>
      </c>
      <c r="AA321" s="9" t="str">
        <f t="shared" ca="1" si="51"/>
        <v/>
      </c>
      <c r="AB321" s="9" t="str">
        <f t="shared" ca="1" si="52"/>
        <v/>
      </c>
      <c r="AC321" s="9" t="str">
        <f t="shared" ca="1" si="53"/>
        <v/>
      </c>
      <c r="AD321" s="9" t="str">
        <f t="shared" ca="1" si="54"/>
        <v/>
      </c>
      <c r="AE321" s="9" t="str">
        <f t="shared" ca="1" si="55"/>
        <v/>
      </c>
      <c r="AF321" s="9" t="str">
        <f ca="1">IF(AND(Y321,AA321="ERREUR"),COUNTIF($AA$2:$AA321,"ERREUR"),"")</f>
        <v/>
      </c>
    </row>
    <row r="322" spans="23:32" ht="25" customHeight="1">
      <c r="W322" s="19">
        <f t="shared" ref="W322:W385" ca="1" si="56">TODAY()+365-ROW()+2</f>
        <v>46148</v>
      </c>
      <c r="X322" s="9" t="str">
        <f t="shared" ref="X322:X385" ca="1" si="57">RIGHT("0"&amp;DAY(W322),2)&amp;RIGHT("0"&amp;MONTH(W322),2)&amp;YEAR(W322)</f>
        <v>06052026</v>
      </c>
      <c r="Y322" s="9" t="b">
        <f t="shared" ref="Y322:Y385" ca="1" si="58">IFERROR(INDIRECT(CHAR(39)&amp;X322&amp;CHAR(39)&amp;"!C3")="DATE DE CAISSE",FALSE)</f>
        <v>0</v>
      </c>
      <c r="Z322" s="9" t="str">
        <f ca="1">IF(Y322,COUNTIF($Y$2:$Y322,TRUE),"")</f>
        <v/>
      </c>
      <c r="AA322" s="9" t="str">
        <f t="shared" ref="AA322:AA385" ca="1" si="59">IF($Y322,IFERROR(IF(INDIRECT(CHAR(39)&amp;$X322&amp;CHAR(39)&amp;"!P3")="VIDE","NON SAISIE",INDIRECT(CHAR(39)&amp;$X322&amp;CHAR(39)&amp;"!P3")),""),"")</f>
        <v/>
      </c>
      <c r="AB322" s="9" t="str">
        <f t="shared" ref="AB322:AB385" ca="1" si="60">IF($Y322,IFERROR(INDIRECT(CHAR(39)&amp;$X322&amp;CHAR(39)&amp;"!M59"),""),"")</f>
        <v/>
      </c>
      <c r="AC322" s="9" t="str">
        <f t="shared" ref="AC322:AC385" ca="1" si="61">IF(Y322,IFERROR(INDIRECT(CHAR(39)&amp;X322&amp;CHAR(39)&amp;"!M3"),""),"")</f>
        <v/>
      </c>
      <c r="AD322" s="9" t="str">
        <f t="shared" ref="AD322:AD385" ca="1" si="62">IF(Y322,IFERROR(INDIRECT(CHAR(39)&amp;X322&amp;CHAR(39)&amp;"!M60"),""),"")</f>
        <v/>
      </c>
      <c r="AE322" s="9" t="str">
        <f t="shared" ref="AE322:AE385" ca="1" si="63">IF($Y322,IF($AA322="OK","RAS",IF($AA322="NON SAISIE","Non saisie",IF($AC322&lt;&gt;0,"Ecart de saisie",IF($AD322&lt;&gt;0,"Ecart de caisse",IF(IFERROR(COUNTIF(INDIRECT(CHAR(39)&amp;$X322&amp;CHAR(39)&amp;"!M11:M40"),"ERREUR"),0)&gt;0,"Lignes facture",IF(IFERROR(COUNTIF(INDIRECT(CHAR(39)&amp;$X322&amp;CHAR(39)&amp;"!N47:N50"),"&lt;&gt;OK"),0)&gt;0,"Controle banque","A verifier")))))),"")</f>
        <v/>
      </c>
      <c r="AF322" s="9" t="str">
        <f ca="1">IF(AND(Y322,AA322="ERREUR"),COUNTIF($AA$2:$AA322,"ERREUR"),"")</f>
        <v/>
      </c>
    </row>
    <row r="323" spans="23:32" ht="25" customHeight="1">
      <c r="W323" s="19">
        <f t="shared" ca="1" si="56"/>
        <v>46147</v>
      </c>
      <c r="X323" s="9" t="str">
        <f t="shared" ca="1" si="57"/>
        <v>05052026</v>
      </c>
      <c r="Y323" s="9" t="b">
        <f t="shared" ca="1" si="58"/>
        <v>0</v>
      </c>
      <c r="Z323" s="9" t="str">
        <f ca="1">IF(Y323,COUNTIF($Y$2:$Y323,TRUE),"")</f>
        <v/>
      </c>
      <c r="AA323" s="9" t="str">
        <f t="shared" ca="1" si="59"/>
        <v/>
      </c>
      <c r="AB323" s="9" t="str">
        <f t="shared" ca="1" si="60"/>
        <v/>
      </c>
      <c r="AC323" s="9" t="str">
        <f t="shared" ca="1" si="61"/>
        <v/>
      </c>
      <c r="AD323" s="9" t="str">
        <f t="shared" ca="1" si="62"/>
        <v/>
      </c>
      <c r="AE323" s="9" t="str">
        <f t="shared" ca="1" si="63"/>
        <v/>
      </c>
      <c r="AF323" s="9" t="str">
        <f ca="1">IF(AND(Y323,AA323="ERREUR"),COUNTIF($AA$2:$AA323,"ERREUR"),"")</f>
        <v/>
      </c>
    </row>
    <row r="324" spans="23:32" ht="25" customHeight="1">
      <c r="W324" s="19">
        <f t="shared" ca="1" si="56"/>
        <v>46146</v>
      </c>
      <c r="X324" s="9" t="str">
        <f t="shared" ca="1" si="57"/>
        <v>04052026</v>
      </c>
      <c r="Y324" s="9" t="b">
        <f t="shared" ca="1" si="58"/>
        <v>0</v>
      </c>
      <c r="Z324" s="9" t="str">
        <f ca="1">IF(Y324,COUNTIF($Y$2:$Y324,TRUE),"")</f>
        <v/>
      </c>
      <c r="AA324" s="9" t="str">
        <f t="shared" ca="1" si="59"/>
        <v/>
      </c>
      <c r="AB324" s="9" t="str">
        <f t="shared" ca="1" si="60"/>
        <v/>
      </c>
      <c r="AC324" s="9" t="str">
        <f t="shared" ca="1" si="61"/>
        <v/>
      </c>
      <c r="AD324" s="9" t="str">
        <f t="shared" ca="1" si="62"/>
        <v/>
      </c>
      <c r="AE324" s="9" t="str">
        <f t="shared" ca="1" si="63"/>
        <v/>
      </c>
      <c r="AF324" s="9" t="str">
        <f ca="1">IF(AND(Y324,AA324="ERREUR"),COUNTIF($AA$2:$AA324,"ERREUR"),"")</f>
        <v/>
      </c>
    </row>
    <row r="325" spans="23:32" ht="25" customHeight="1">
      <c r="W325" s="19">
        <f t="shared" ca="1" si="56"/>
        <v>46145</v>
      </c>
      <c r="X325" s="9" t="str">
        <f t="shared" ca="1" si="57"/>
        <v>03052026</v>
      </c>
      <c r="Y325" s="9" t="b">
        <f t="shared" ca="1" si="58"/>
        <v>0</v>
      </c>
      <c r="Z325" s="9" t="str">
        <f ca="1">IF(Y325,COUNTIF($Y$2:$Y325,TRUE),"")</f>
        <v/>
      </c>
      <c r="AA325" s="9" t="str">
        <f t="shared" ca="1" si="59"/>
        <v/>
      </c>
      <c r="AB325" s="9" t="str">
        <f t="shared" ca="1" si="60"/>
        <v/>
      </c>
      <c r="AC325" s="9" t="str">
        <f t="shared" ca="1" si="61"/>
        <v/>
      </c>
      <c r="AD325" s="9" t="str">
        <f t="shared" ca="1" si="62"/>
        <v/>
      </c>
      <c r="AE325" s="9" t="str">
        <f t="shared" ca="1" si="63"/>
        <v/>
      </c>
      <c r="AF325" s="9" t="str">
        <f ca="1">IF(AND(Y325,AA325="ERREUR"),COUNTIF($AA$2:$AA325,"ERREUR"),"")</f>
        <v/>
      </c>
    </row>
    <row r="326" spans="23:32" ht="25" customHeight="1">
      <c r="W326" s="19">
        <f t="shared" ca="1" si="56"/>
        <v>46144</v>
      </c>
      <c r="X326" s="9" t="str">
        <f t="shared" ca="1" si="57"/>
        <v>02052026</v>
      </c>
      <c r="Y326" s="9" t="b">
        <f t="shared" ca="1" si="58"/>
        <v>0</v>
      </c>
      <c r="Z326" s="9" t="str">
        <f ca="1">IF(Y326,COUNTIF($Y$2:$Y326,TRUE),"")</f>
        <v/>
      </c>
      <c r="AA326" s="9" t="str">
        <f t="shared" ca="1" si="59"/>
        <v/>
      </c>
      <c r="AB326" s="9" t="str">
        <f t="shared" ca="1" si="60"/>
        <v/>
      </c>
      <c r="AC326" s="9" t="str">
        <f t="shared" ca="1" si="61"/>
        <v/>
      </c>
      <c r="AD326" s="9" t="str">
        <f t="shared" ca="1" si="62"/>
        <v/>
      </c>
      <c r="AE326" s="9" t="str">
        <f t="shared" ca="1" si="63"/>
        <v/>
      </c>
      <c r="AF326" s="9" t="str">
        <f ca="1">IF(AND(Y326,AA326="ERREUR"),COUNTIF($AA$2:$AA326,"ERREUR"),"")</f>
        <v/>
      </c>
    </row>
    <row r="327" spans="23:32" ht="25" customHeight="1">
      <c r="W327" s="19">
        <f t="shared" ca="1" si="56"/>
        <v>46143</v>
      </c>
      <c r="X327" s="9" t="str">
        <f t="shared" ca="1" si="57"/>
        <v>01052026</v>
      </c>
      <c r="Y327" s="9" t="b">
        <f t="shared" ca="1" si="58"/>
        <v>0</v>
      </c>
      <c r="Z327" s="9" t="str">
        <f ca="1">IF(Y327,COUNTIF($Y$2:$Y327,TRUE),"")</f>
        <v/>
      </c>
      <c r="AA327" s="9" t="str">
        <f t="shared" ca="1" si="59"/>
        <v/>
      </c>
      <c r="AB327" s="9" t="str">
        <f t="shared" ca="1" si="60"/>
        <v/>
      </c>
      <c r="AC327" s="9" t="str">
        <f t="shared" ca="1" si="61"/>
        <v/>
      </c>
      <c r="AD327" s="9" t="str">
        <f t="shared" ca="1" si="62"/>
        <v/>
      </c>
      <c r="AE327" s="9" t="str">
        <f t="shared" ca="1" si="63"/>
        <v/>
      </c>
      <c r="AF327" s="9" t="str">
        <f ca="1">IF(AND(Y327,AA327="ERREUR"),COUNTIF($AA$2:$AA327,"ERREUR"),"")</f>
        <v/>
      </c>
    </row>
    <row r="328" spans="23:32" ht="25" customHeight="1">
      <c r="W328" s="19">
        <f t="shared" ca="1" si="56"/>
        <v>46142</v>
      </c>
      <c r="X328" s="9" t="str">
        <f t="shared" ca="1" si="57"/>
        <v>30042026</v>
      </c>
      <c r="Y328" s="9" t="b">
        <f t="shared" ca="1" si="58"/>
        <v>0</v>
      </c>
      <c r="Z328" s="9" t="str">
        <f ca="1">IF(Y328,COUNTIF($Y$2:$Y328,TRUE),"")</f>
        <v/>
      </c>
      <c r="AA328" s="9" t="str">
        <f t="shared" ca="1" si="59"/>
        <v/>
      </c>
      <c r="AB328" s="9" t="str">
        <f t="shared" ca="1" si="60"/>
        <v/>
      </c>
      <c r="AC328" s="9" t="str">
        <f t="shared" ca="1" si="61"/>
        <v/>
      </c>
      <c r="AD328" s="9" t="str">
        <f t="shared" ca="1" si="62"/>
        <v/>
      </c>
      <c r="AE328" s="9" t="str">
        <f t="shared" ca="1" si="63"/>
        <v/>
      </c>
      <c r="AF328" s="9" t="str">
        <f ca="1">IF(AND(Y328,AA328="ERREUR"),COUNTIF($AA$2:$AA328,"ERREUR"),"")</f>
        <v/>
      </c>
    </row>
    <row r="329" spans="23:32" ht="25" customHeight="1">
      <c r="W329" s="19">
        <f t="shared" ca="1" si="56"/>
        <v>46141</v>
      </c>
      <c r="X329" s="9" t="str">
        <f t="shared" ca="1" si="57"/>
        <v>29042026</v>
      </c>
      <c r="Y329" s="9" t="b">
        <f t="shared" ca="1" si="58"/>
        <v>0</v>
      </c>
      <c r="Z329" s="9" t="str">
        <f ca="1">IF(Y329,COUNTIF($Y$2:$Y329,TRUE),"")</f>
        <v/>
      </c>
      <c r="AA329" s="9" t="str">
        <f t="shared" ca="1" si="59"/>
        <v/>
      </c>
      <c r="AB329" s="9" t="str">
        <f t="shared" ca="1" si="60"/>
        <v/>
      </c>
      <c r="AC329" s="9" t="str">
        <f t="shared" ca="1" si="61"/>
        <v/>
      </c>
      <c r="AD329" s="9" t="str">
        <f t="shared" ca="1" si="62"/>
        <v/>
      </c>
      <c r="AE329" s="9" t="str">
        <f t="shared" ca="1" si="63"/>
        <v/>
      </c>
      <c r="AF329" s="9" t="str">
        <f ca="1">IF(AND(Y329,AA329="ERREUR"),COUNTIF($AA$2:$AA329,"ERREUR"),"")</f>
        <v/>
      </c>
    </row>
    <row r="330" spans="23:32" ht="25" customHeight="1">
      <c r="W330" s="19">
        <f t="shared" ca="1" si="56"/>
        <v>46140</v>
      </c>
      <c r="X330" s="9" t="str">
        <f t="shared" ca="1" si="57"/>
        <v>28042026</v>
      </c>
      <c r="Y330" s="9" t="b">
        <f t="shared" ca="1" si="58"/>
        <v>0</v>
      </c>
      <c r="Z330" s="9" t="str">
        <f ca="1">IF(Y330,COUNTIF($Y$2:$Y330,TRUE),"")</f>
        <v/>
      </c>
      <c r="AA330" s="9" t="str">
        <f t="shared" ca="1" si="59"/>
        <v/>
      </c>
      <c r="AB330" s="9" t="str">
        <f t="shared" ca="1" si="60"/>
        <v/>
      </c>
      <c r="AC330" s="9" t="str">
        <f t="shared" ca="1" si="61"/>
        <v/>
      </c>
      <c r="AD330" s="9" t="str">
        <f t="shared" ca="1" si="62"/>
        <v/>
      </c>
      <c r="AE330" s="9" t="str">
        <f t="shared" ca="1" si="63"/>
        <v/>
      </c>
      <c r="AF330" s="9" t="str">
        <f ca="1">IF(AND(Y330,AA330="ERREUR"),COUNTIF($AA$2:$AA330,"ERREUR"),"")</f>
        <v/>
      </c>
    </row>
    <row r="331" spans="23:32" ht="25" customHeight="1">
      <c r="W331" s="19">
        <f t="shared" ca="1" si="56"/>
        <v>46139</v>
      </c>
      <c r="X331" s="9" t="str">
        <f t="shared" ca="1" si="57"/>
        <v>27042026</v>
      </c>
      <c r="Y331" s="9" t="b">
        <f t="shared" ca="1" si="58"/>
        <v>0</v>
      </c>
      <c r="Z331" s="9" t="str">
        <f ca="1">IF(Y331,COUNTIF($Y$2:$Y331,TRUE),"")</f>
        <v/>
      </c>
      <c r="AA331" s="9" t="str">
        <f t="shared" ca="1" si="59"/>
        <v/>
      </c>
      <c r="AB331" s="9" t="str">
        <f t="shared" ca="1" si="60"/>
        <v/>
      </c>
      <c r="AC331" s="9" t="str">
        <f t="shared" ca="1" si="61"/>
        <v/>
      </c>
      <c r="AD331" s="9" t="str">
        <f t="shared" ca="1" si="62"/>
        <v/>
      </c>
      <c r="AE331" s="9" t="str">
        <f t="shared" ca="1" si="63"/>
        <v/>
      </c>
      <c r="AF331" s="9" t="str">
        <f ca="1">IF(AND(Y331,AA331="ERREUR"),COUNTIF($AA$2:$AA331,"ERREUR"),"")</f>
        <v/>
      </c>
    </row>
    <row r="332" spans="23:32" ht="25" customHeight="1">
      <c r="W332" s="19">
        <f t="shared" ca="1" si="56"/>
        <v>46138</v>
      </c>
      <c r="X332" s="9" t="str">
        <f t="shared" ca="1" si="57"/>
        <v>26042026</v>
      </c>
      <c r="Y332" s="9" t="b">
        <f t="shared" ca="1" si="58"/>
        <v>0</v>
      </c>
      <c r="Z332" s="9" t="str">
        <f ca="1">IF(Y332,COUNTIF($Y$2:$Y332,TRUE),"")</f>
        <v/>
      </c>
      <c r="AA332" s="9" t="str">
        <f t="shared" ca="1" si="59"/>
        <v/>
      </c>
      <c r="AB332" s="9" t="str">
        <f t="shared" ca="1" si="60"/>
        <v/>
      </c>
      <c r="AC332" s="9" t="str">
        <f t="shared" ca="1" si="61"/>
        <v/>
      </c>
      <c r="AD332" s="9" t="str">
        <f t="shared" ca="1" si="62"/>
        <v/>
      </c>
      <c r="AE332" s="9" t="str">
        <f t="shared" ca="1" si="63"/>
        <v/>
      </c>
      <c r="AF332" s="9" t="str">
        <f ca="1">IF(AND(Y332,AA332="ERREUR"),COUNTIF($AA$2:$AA332,"ERREUR"),"")</f>
        <v/>
      </c>
    </row>
    <row r="333" spans="23:32" ht="25" customHeight="1">
      <c r="W333" s="19">
        <f t="shared" ca="1" si="56"/>
        <v>46137</v>
      </c>
      <c r="X333" s="9" t="str">
        <f t="shared" ca="1" si="57"/>
        <v>25042026</v>
      </c>
      <c r="Y333" s="9" t="b">
        <f t="shared" ca="1" si="58"/>
        <v>0</v>
      </c>
      <c r="Z333" s="9" t="str">
        <f ca="1">IF(Y333,COUNTIF($Y$2:$Y333,TRUE),"")</f>
        <v/>
      </c>
      <c r="AA333" s="9" t="str">
        <f t="shared" ca="1" si="59"/>
        <v/>
      </c>
      <c r="AB333" s="9" t="str">
        <f t="shared" ca="1" si="60"/>
        <v/>
      </c>
      <c r="AC333" s="9" t="str">
        <f t="shared" ca="1" si="61"/>
        <v/>
      </c>
      <c r="AD333" s="9" t="str">
        <f t="shared" ca="1" si="62"/>
        <v/>
      </c>
      <c r="AE333" s="9" t="str">
        <f t="shared" ca="1" si="63"/>
        <v/>
      </c>
      <c r="AF333" s="9" t="str">
        <f ca="1">IF(AND(Y333,AA333="ERREUR"),COUNTIF($AA$2:$AA333,"ERREUR"),"")</f>
        <v/>
      </c>
    </row>
    <row r="334" spans="23:32" ht="25" customHeight="1">
      <c r="W334" s="19">
        <f t="shared" ca="1" si="56"/>
        <v>46136</v>
      </c>
      <c r="X334" s="9" t="str">
        <f t="shared" ca="1" si="57"/>
        <v>24042026</v>
      </c>
      <c r="Y334" s="9" t="b">
        <f t="shared" ca="1" si="58"/>
        <v>0</v>
      </c>
      <c r="Z334" s="9" t="str">
        <f ca="1">IF(Y334,COUNTIF($Y$2:$Y334,TRUE),"")</f>
        <v/>
      </c>
      <c r="AA334" s="9" t="str">
        <f t="shared" ca="1" si="59"/>
        <v/>
      </c>
      <c r="AB334" s="9" t="str">
        <f t="shared" ca="1" si="60"/>
        <v/>
      </c>
      <c r="AC334" s="9" t="str">
        <f t="shared" ca="1" si="61"/>
        <v/>
      </c>
      <c r="AD334" s="9" t="str">
        <f t="shared" ca="1" si="62"/>
        <v/>
      </c>
      <c r="AE334" s="9" t="str">
        <f t="shared" ca="1" si="63"/>
        <v/>
      </c>
      <c r="AF334" s="9" t="str">
        <f ca="1">IF(AND(Y334,AA334="ERREUR"),COUNTIF($AA$2:$AA334,"ERREUR"),"")</f>
        <v/>
      </c>
    </row>
    <row r="335" spans="23:32" ht="25" customHeight="1">
      <c r="W335" s="19">
        <f t="shared" ca="1" si="56"/>
        <v>46135</v>
      </c>
      <c r="X335" s="9" t="str">
        <f t="shared" ca="1" si="57"/>
        <v>23042026</v>
      </c>
      <c r="Y335" s="9" t="b">
        <f t="shared" ca="1" si="58"/>
        <v>0</v>
      </c>
      <c r="Z335" s="9" t="str">
        <f ca="1">IF(Y335,COUNTIF($Y$2:$Y335,TRUE),"")</f>
        <v/>
      </c>
      <c r="AA335" s="9" t="str">
        <f t="shared" ca="1" si="59"/>
        <v/>
      </c>
      <c r="AB335" s="9" t="str">
        <f t="shared" ca="1" si="60"/>
        <v/>
      </c>
      <c r="AC335" s="9" t="str">
        <f t="shared" ca="1" si="61"/>
        <v/>
      </c>
      <c r="AD335" s="9" t="str">
        <f t="shared" ca="1" si="62"/>
        <v/>
      </c>
      <c r="AE335" s="9" t="str">
        <f t="shared" ca="1" si="63"/>
        <v/>
      </c>
      <c r="AF335" s="9" t="str">
        <f ca="1">IF(AND(Y335,AA335="ERREUR"),COUNTIF($AA$2:$AA335,"ERREUR"),"")</f>
        <v/>
      </c>
    </row>
    <row r="336" spans="23:32" ht="25" customHeight="1">
      <c r="W336" s="19">
        <f t="shared" ca="1" si="56"/>
        <v>46134</v>
      </c>
      <c r="X336" s="9" t="str">
        <f t="shared" ca="1" si="57"/>
        <v>22042026</v>
      </c>
      <c r="Y336" s="9" t="b">
        <f t="shared" ca="1" si="58"/>
        <v>0</v>
      </c>
      <c r="Z336" s="9" t="str">
        <f ca="1">IF(Y336,COUNTIF($Y$2:$Y336,TRUE),"")</f>
        <v/>
      </c>
      <c r="AA336" s="9" t="str">
        <f t="shared" ca="1" si="59"/>
        <v/>
      </c>
      <c r="AB336" s="9" t="str">
        <f t="shared" ca="1" si="60"/>
        <v/>
      </c>
      <c r="AC336" s="9" t="str">
        <f t="shared" ca="1" si="61"/>
        <v/>
      </c>
      <c r="AD336" s="9" t="str">
        <f t="shared" ca="1" si="62"/>
        <v/>
      </c>
      <c r="AE336" s="9" t="str">
        <f t="shared" ca="1" si="63"/>
        <v/>
      </c>
      <c r="AF336" s="9" t="str">
        <f ca="1">IF(AND(Y336,AA336="ERREUR"),COUNTIF($AA$2:$AA336,"ERREUR"),"")</f>
        <v/>
      </c>
    </row>
    <row r="337" spans="23:32" ht="25" customHeight="1">
      <c r="W337" s="19">
        <f t="shared" ca="1" si="56"/>
        <v>46133</v>
      </c>
      <c r="X337" s="9" t="str">
        <f t="shared" ca="1" si="57"/>
        <v>21042026</v>
      </c>
      <c r="Y337" s="9" t="b">
        <f t="shared" ca="1" si="58"/>
        <v>0</v>
      </c>
      <c r="Z337" s="9" t="str">
        <f ca="1">IF(Y337,COUNTIF($Y$2:$Y337,TRUE),"")</f>
        <v/>
      </c>
      <c r="AA337" s="9" t="str">
        <f t="shared" ca="1" si="59"/>
        <v/>
      </c>
      <c r="AB337" s="9" t="str">
        <f t="shared" ca="1" si="60"/>
        <v/>
      </c>
      <c r="AC337" s="9" t="str">
        <f t="shared" ca="1" si="61"/>
        <v/>
      </c>
      <c r="AD337" s="9" t="str">
        <f t="shared" ca="1" si="62"/>
        <v/>
      </c>
      <c r="AE337" s="9" t="str">
        <f t="shared" ca="1" si="63"/>
        <v/>
      </c>
      <c r="AF337" s="9" t="str">
        <f ca="1">IF(AND(Y337,AA337="ERREUR"),COUNTIF($AA$2:$AA337,"ERREUR"),"")</f>
        <v/>
      </c>
    </row>
    <row r="338" spans="23:32" ht="25" customHeight="1">
      <c r="W338" s="19">
        <f t="shared" ca="1" si="56"/>
        <v>46132</v>
      </c>
      <c r="X338" s="9" t="str">
        <f t="shared" ca="1" si="57"/>
        <v>20042026</v>
      </c>
      <c r="Y338" s="9" t="b">
        <f t="shared" ca="1" si="58"/>
        <v>0</v>
      </c>
      <c r="Z338" s="9" t="str">
        <f ca="1">IF(Y338,COUNTIF($Y$2:$Y338,TRUE),"")</f>
        <v/>
      </c>
      <c r="AA338" s="9" t="str">
        <f t="shared" ca="1" si="59"/>
        <v/>
      </c>
      <c r="AB338" s="9" t="str">
        <f t="shared" ca="1" si="60"/>
        <v/>
      </c>
      <c r="AC338" s="9" t="str">
        <f t="shared" ca="1" si="61"/>
        <v/>
      </c>
      <c r="AD338" s="9" t="str">
        <f t="shared" ca="1" si="62"/>
        <v/>
      </c>
      <c r="AE338" s="9" t="str">
        <f t="shared" ca="1" si="63"/>
        <v/>
      </c>
      <c r="AF338" s="9" t="str">
        <f ca="1">IF(AND(Y338,AA338="ERREUR"),COUNTIF($AA$2:$AA338,"ERREUR"),"")</f>
        <v/>
      </c>
    </row>
    <row r="339" spans="23:32" ht="25" customHeight="1">
      <c r="W339" s="19">
        <f t="shared" ca="1" si="56"/>
        <v>46131</v>
      </c>
      <c r="X339" s="9" t="str">
        <f t="shared" ca="1" si="57"/>
        <v>19042026</v>
      </c>
      <c r="Y339" s="9" t="b">
        <f t="shared" ca="1" si="58"/>
        <v>0</v>
      </c>
      <c r="Z339" s="9" t="str">
        <f ca="1">IF(Y339,COUNTIF($Y$2:$Y339,TRUE),"")</f>
        <v/>
      </c>
      <c r="AA339" s="9" t="str">
        <f t="shared" ca="1" si="59"/>
        <v/>
      </c>
      <c r="AB339" s="9" t="str">
        <f t="shared" ca="1" si="60"/>
        <v/>
      </c>
      <c r="AC339" s="9" t="str">
        <f t="shared" ca="1" si="61"/>
        <v/>
      </c>
      <c r="AD339" s="9" t="str">
        <f t="shared" ca="1" si="62"/>
        <v/>
      </c>
      <c r="AE339" s="9" t="str">
        <f t="shared" ca="1" si="63"/>
        <v/>
      </c>
      <c r="AF339" s="9" t="str">
        <f ca="1">IF(AND(Y339,AA339="ERREUR"),COUNTIF($AA$2:$AA339,"ERREUR"),"")</f>
        <v/>
      </c>
    </row>
    <row r="340" spans="23:32" ht="25" customHeight="1">
      <c r="W340" s="19">
        <f t="shared" ca="1" si="56"/>
        <v>46130</v>
      </c>
      <c r="X340" s="9" t="str">
        <f t="shared" ca="1" si="57"/>
        <v>18042026</v>
      </c>
      <c r="Y340" s="9" t="b">
        <f t="shared" ca="1" si="58"/>
        <v>0</v>
      </c>
      <c r="Z340" s="9" t="str">
        <f ca="1">IF(Y340,COUNTIF($Y$2:$Y340,TRUE),"")</f>
        <v/>
      </c>
      <c r="AA340" s="9" t="str">
        <f t="shared" ca="1" si="59"/>
        <v/>
      </c>
      <c r="AB340" s="9" t="str">
        <f t="shared" ca="1" si="60"/>
        <v/>
      </c>
      <c r="AC340" s="9" t="str">
        <f t="shared" ca="1" si="61"/>
        <v/>
      </c>
      <c r="AD340" s="9" t="str">
        <f t="shared" ca="1" si="62"/>
        <v/>
      </c>
      <c r="AE340" s="9" t="str">
        <f t="shared" ca="1" si="63"/>
        <v/>
      </c>
      <c r="AF340" s="9" t="str">
        <f ca="1">IF(AND(Y340,AA340="ERREUR"),COUNTIF($AA$2:$AA340,"ERREUR"),"")</f>
        <v/>
      </c>
    </row>
    <row r="341" spans="23:32" ht="25" customHeight="1">
      <c r="W341" s="19">
        <f t="shared" ca="1" si="56"/>
        <v>46129</v>
      </c>
      <c r="X341" s="9" t="str">
        <f t="shared" ca="1" si="57"/>
        <v>17042026</v>
      </c>
      <c r="Y341" s="9" t="b">
        <f t="shared" ca="1" si="58"/>
        <v>0</v>
      </c>
      <c r="Z341" s="9" t="str">
        <f ca="1">IF(Y341,COUNTIF($Y$2:$Y341,TRUE),"")</f>
        <v/>
      </c>
      <c r="AA341" s="9" t="str">
        <f t="shared" ca="1" si="59"/>
        <v/>
      </c>
      <c r="AB341" s="9" t="str">
        <f t="shared" ca="1" si="60"/>
        <v/>
      </c>
      <c r="AC341" s="9" t="str">
        <f t="shared" ca="1" si="61"/>
        <v/>
      </c>
      <c r="AD341" s="9" t="str">
        <f t="shared" ca="1" si="62"/>
        <v/>
      </c>
      <c r="AE341" s="9" t="str">
        <f t="shared" ca="1" si="63"/>
        <v/>
      </c>
      <c r="AF341" s="9" t="str">
        <f ca="1">IF(AND(Y341,AA341="ERREUR"),COUNTIF($AA$2:$AA341,"ERREUR"),"")</f>
        <v/>
      </c>
    </row>
    <row r="342" spans="23:32" ht="25" customHeight="1">
      <c r="W342" s="19">
        <f t="shared" ca="1" si="56"/>
        <v>46128</v>
      </c>
      <c r="X342" s="9" t="str">
        <f t="shared" ca="1" si="57"/>
        <v>16042026</v>
      </c>
      <c r="Y342" s="9" t="b">
        <f t="shared" ca="1" si="58"/>
        <v>0</v>
      </c>
      <c r="Z342" s="9" t="str">
        <f ca="1">IF(Y342,COUNTIF($Y$2:$Y342,TRUE),"")</f>
        <v/>
      </c>
      <c r="AA342" s="9" t="str">
        <f t="shared" ca="1" si="59"/>
        <v/>
      </c>
      <c r="AB342" s="9" t="str">
        <f t="shared" ca="1" si="60"/>
        <v/>
      </c>
      <c r="AC342" s="9" t="str">
        <f t="shared" ca="1" si="61"/>
        <v/>
      </c>
      <c r="AD342" s="9" t="str">
        <f t="shared" ca="1" si="62"/>
        <v/>
      </c>
      <c r="AE342" s="9" t="str">
        <f t="shared" ca="1" si="63"/>
        <v/>
      </c>
      <c r="AF342" s="9" t="str">
        <f ca="1">IF(AND(Y342,AA342="ERREUR"),COUNTIF($AA$2:$AA342,"ERREUR"),"")</f>
        <v/>
      </c>
    </row>
    <row r="343" spans="23:32" ht="25" customHeight="1">
      <c r="W343" s="19">
        <f t="shared" ca="1" si="56"/>
        <v>46127</v>
      </c>
      <c r="X343" s="9" t="str">
        <f t="shared" ca="1" si="57"/>
        <v>15042026</v>
      </c>
      <c r="Y343" s="9" t="b">
        <f t="shared" ca="1" si="58"/>
        <v>0</v>
      </c>
      <c r="Z343" s="9" t="str">
        <f ca="1">IF(Y343,COUNTIF($Y$2:$Y343,TRUE),"")</f>
        <v/>
      </c>
      <c r="AA343" s="9" t="str">
        <f t="shared" ca="1" si="59"/>
        <v/>
      </c>
      <c r="AB343" s="9" t="str">
        <f t="shared" ca="1" si="60"/>
        <v/>
      </c>
      <c r="AC343" s="9" t="str">
        <f t="shared" ca="1" si="61"/>
        <v/>
      </c>
      <c r="AD343" s="9" t="str">
        <f t="shared" ca="1" si="62"/>
        <v/>
      </c>
      <c r="AE343" s="9" t="str">
        <f t="shared" ca="1" si="63"/>
        <v/>
      </c>
      <c r="AF343" s="9" t="str">
        <f ca="1">IF(AND(Y343,AA343="ERREUR"),COUNTIF($AA$2:$AA343,"ERREUR"),"")</f>
        <v/>
      </c>
    </row>
    <row r="344" spans="23:32" ht="25" customHeight="1">
      <c r="W344" s="19">
        <f t="shared" ca="1" si="56"/>
        <v>46126</v>
      </c>
      <c r="X344" s="9" t="str">
        <f t="shared" ca="1" si="57"/>
        <v>14042026</v>
      </c>
      <c r="Y344" s="9" t="b">
        <f t="shared" ca="1" si="58"/>
        <v>0</v>
      </c>
      <c r="Z344" s="9" t="str">
        <f ca="1">IF(Y344,COUNTIF($Y$2:$Y344,TRUE),"")</f>
        <v/>
      </c>
      <c r="AA344" s="9" t="str">
        <f t="shared" ca="1" si="59"/>
        <v/>
      </c>
      <c r="AB344" s="9" t="str">
        <f t="shared" ca="1" si="60"/>
        <v/>
      </c>
      <c r="AC344" s="9" t="str">
        <f t="shared" ca="1" si="61"/>
        <v/>
      </c>
      <c r="AD344" s="9" t="str">
        <f t="shared" ca="1" si="62"/>
        <v/>
      </c>
      <c r="AE344" s="9" t="str">
        <f t="shared" ca="1" si="63"/>
        <v/>
      </c>
      <c r="AF344" s="9" t="str">
        <f ca="1">IF(AND(Y344,AA344="ERREUR"),COUNTIF($AA$2:$AA344,"ERREUR"),"")</f>
        <v/>
      </c>
    </row>
    <row r="345" spans="23:32" ht="25" customHeight="1">
      <c r="W345" s="19">
        <f t="shared" ca="1" si="56"/>
        <v>46125</v>
      </c>
      <c r="X345" s="9" t="str">
        <f t="shared" ca="1" si="57"/>
        <v>13042026</v>
      </c>
      <c r="Y345" s="9" t="b">
        <f t="shared" ca="1" si="58"/>
        <v>0</v>
      </c>
      <c r="Z345" s="9" t="str">
        <f ca="1">IF(Y345,COUNTIF($Y$2:$Y345,TRUE),"")</f>
        <v/>
      </c>
      <c r="AA345" s="9" t="str">
        <f t="shared" ca="1" si="59"/>
        <v/>
      </c>
      <c r="AB345" s="9" t="str">
        <f t="shared" ca="1" si="60"/>
        <v/>
      </c>
      <c r="AC345" s="9" t="str">
        <f t="shared" ca="1" si="61"/>
        <v/>
      </c>
      <c r="AD345" s="9" t="str">
        <f t="shared" ca="1" si="62"/>
        <v/>
      </c>
      <c r="AE345" s="9" t="str">
        <f t="shared" ca="1" si="63"/>
        <v/>
      </c>
      <c r="AF345" s="9" t="str">
        <f ca="1">IF(AND(Y345,AA345="ERREUR"),COUNTIF($AA$2:$AA345,"ERREUR"),"")</f>
        <v/>
      </c>
    </row>
    <row r="346" spans="23:32" ht="25" customHeight="1">
      <c r="W346" s="19">
        <f t="shared" ca="1" si="56"/>
        <v>46124</v>
      </c>
      <c r="X346" s="9" t="str">
        <f t="shared" ca="1" si="57"/>
        <v>12042026</v>
      </c>
      <c r="Y346" s="9" t="b">
        <f t="shared" ca="1" si="58"/>
        <v>0</v>
      </c>
      <c r="Z346" s="9" t="str">
        <f ca="1">IF(Y346,COUNTIF($Y$2:$Y346,TRUE),"")</f>
        <v/>
      </c>
      <c r="AA346" s="9" t="str">
        <f t="shared" ca="1" si="59"/>
        <v/>
      </c>
      <c r="AB346" s="9" t="str">
        <f t="shared" ca="1" si="60"/>
        <v/>
      </c>
      <c r="AC346" s="9" t="str">
        <f t="shared" ca="1" si="61"/>
        <v/>
      </c>
      <c r="AD346" s="9" t="str">
        <f t="shared" ca="1" si="62"/>
        <v/>
      </c>
      <c r="AE346" s="9" t="str">
        <f t="shared" ca="1" si="63"/>
        <v/>
      </c>
      <c r="AF346" s="9" t="str">
        <f ca="1">IF(AND(Y346,AA346="ERREUR"),COUNTIF($AA$2:$AA346,"ERREUR"),"")</f>
        <v/>
      </c>
    </row>
    <row r="347" spans="23:32" ht="25" customHeight="1">
      <c r="W347" s="19">
        <f t="shared" ca="1" si="56"/>
        <v>46123</v>
      </c>
      <c r="X347" s="9" t="str">
        <f t="shared" ca="1" si="57"/>
        <v>11042026</v>
      </c>
      <c r="Y347" s="9" t="b">
        <f t="shared" ca="1" si="58"/>
        <v>0</v>
      </c>
      <c r="Z347" s="9" t="str">
        <f ca="1">IF(Y347,COUNTIF($Y$2:$Y347,TRUE),"")</f>
        <v/>
      </c>
      <c r="AA347" s="9" t="str">
        <f t="shared" ca="1" si="59"/>
        <v/>
      </c>
      <c r="AB347" s="9" t="str">
        <f t="shared" ca="1" si="60"/>
        <v/>
      </c>
      <c r="AC347" s="9" t="str">
        <f t="shared" ca="1" si="61"/>
        <v/>
      </c>
      <c r="AD347" s="9" t="str">
        <f t="shared" ca="1" si="62"/>
        <v/>
      </c>
      <c r="AE347" s="9" t="str">
        <f t="shared" ca="1" si="63"/>
        <v/>
      </c>
      <c r="AF347" s="9" t="str">
        <f ca="1">IF(AND(Y347,AA347="ERREUR"),COUNTIF($AA$2:$AA347,"ERREUR"),"")</f>
        <v/>
      </c>
    </row>
    <row r="348" spans="23:32" ht="25" customHeight="1">
      <c r="W348" s="19">
        <f t="shared" ca="1" si="56"/>
        <v>46122</v>
      </c>
      <c r="X348" s="9" t="str">
        <f t="shared" ca="1" si="57"/>
        <v>10042026</v>
      </c>
      <c r="Y348" s="9" t="b">
        <f t="shared" ca="1" si="58"/>
        <v>0</v>
      </c>
      <c r="Z348" s="9" t="str">
        <f ca="1">IF(Y348,COUNTIF($Y$2:$Y348,TRUE),"")</f>
        <v/>
      </c>
      <c r="AA348" s="9" t="str">
        <f t="shared" ca="1" si="59"/>
        <v/>
      </c>
      <c r="AB348" s="9" t="str">
        <f t="shared" ca="1" si="60"/>
        <v/>
      </c>
      <c r="AC348" s="9" t="str">
        <f t="shared" ca="1" si="61"/>
        <v/>
      </c>
      <c r="AD348" s="9" t="str">
        <f t="shared" ca="1" si="62"/>
        <v/>
      </c>
      <c r="AE348" s="9" t="str">
        <f t="shared" ca="1" si="63"/>
        <v/>
      </c>
      <c r="AF348" s="9" t="str">
        <f ca="1">IF(AND(Y348,AA348="ERREUR"),COUNTIF($AA$2:$AA348,"ERREUR"),"")</f>
        <v/>
      </c>
    </row>
    <row r="349" spans="23:32" ht="25" customHeight="1">
      <c r="W349" s="19">
        <f t="shared" ca="1" si="56"/>
        <v>46121</v>
      </c>
      <c r="X349" s="9" t="str">
        <f t="shared" ca="1" si="57"/>
        <v>09042026</v>
      </c>
      <c r="Y349" s="9" t="b">
        <f t="shared" ca="1" si="58"/>
        <v>0</v>
      </c>
      <c r="Z349" s="9" t="str">
        <f ca="1">IF(Y349,COUNTIF($Y$2:$Y349,TRUE),"")</f>
        <v/>
      </c>
      <c r="AA349" s="9" t="str">
        <f t="shared" ca="1" si="59"/>
        <v/>
      </c>
      <c r="AB349" s="9" t="str">
        <f t="shared" ca="1" si="60"/>
        <v/>
      </c>
      <c r="AC349" s="9" t="str">
        <f t="shared" ca="1" si="61"/>
        <v/>
      </c>
      <c r="AD349" s="9" t="str">
        <f t="shared" ca="1" si="62"/>
        <v/>
      </c>
      <c r="AE349" s="9" t="str">
        <f t="shared" ca="1" si="63"/>
        <v/>
      </c>
      <c r="AF349" s="9" t="str">
        <f ca="1">IF(AND(Y349,AA349="ERREUR"),COUNTIF($AA$2:$AA349,"ERREUR"),"")</f>
        <v/>
      </c>
    </row>
    <row r="350" spans="23:32" ht="25" customHeight="1">
      <c r="W350" s="19">
        <f t="shared" ca="1" si="56"/>
        <v>46120</v>
      </c>
      <c r="X350" s="9" t="str">
        <f t="shared" ca="1" si="57"/>
        <v>08042026</v>
      </c>
      <c r="Y350" s="9" t="b">
        <f t="shared" ca="1" si="58"/>
        <v>0</v>
      </c>
      <c r="Z350" s="9" t="str">
        <f ca="1">IF(Y350,COUNTIF($Y$2:$Y350,TRUE),"")</f>
        <v/>
      </c>
      <c r="AA350" s="9" t="str">
        <f t="shared" ca="1" si="59"/>
        <v/>
      </c>
      <c r="AB350" s="9" t="str">
        <f t="shared" ca="1" si="60"/>
        <v/>
      </c>
      <c r="AC350" s="9" t="str">
        <f t="shared" ca="1" si="61"/>
        <v/>
      </c>
      <c r="AD350" s="9" t="str">
        <f t="shared" ca="1" si="62"/>
        <v/>
      </c>
      <c r="AE350" s="9" t="str">
        <f t="shared" ca="1" si="63"/>
        <v/>
      </c>
      <c r="AF350" s="9" t="str">
        <f ca="1">IF(AND(Y350,AA350="ERREUR"),COUNTIF($AA$2:$AA350,"ERREUR"),"")</f>
        <v/>
      </c>
    </row>
    <row r="351" spans="23:32" ht="25" customHeight="1">
      <c r="W351" s="19">
        <f t="shared" ca="1" si="56"/>
        <v>46119</v>
      </c>
      <c r="X351" s="9" t="str">
        <f t="shared" ca="1" si="57"/>
        <v>07042026</v>
      </c>
      <c r="Y351" s="9" t="b">
        <f t="shared" ca="1" si="58"/>
        <v>0</v>
      </c>
      <c r="Z351" s="9" t="str">
        <f ca="1">IF(Y351,COUNTIF($Y$2:$Y351,TRUE),"")</f>
        <v/>
      </c>
      <c r="AA351" s="9" t="str">
        <f t="shared" ca="1" si="59"/>
        <v/>
      </c>
      <c r="AB351" s="9" t="str">
        <f t="shared" ca="1" si="60"/>
        <v/>
      </c>
      <c r="AC351" s="9" t="str">
        <f t="shared" ca="1" si="61"/>
        <v/>
      </c>
      <c r="AD351" s="9" t="str">
        <f t="shared" ca="1" si="62"/>
        <v/>
      </c>
      <c r="AE351" s="9" t="str">
        <f t="shared" ca="1" si="63"/>
        <v/>
      </c>
      <c r="AF351" s="9" t="str">
        <f ca="1">IF(AND(Y351,AA351="ERREUR"),COUNTIF($AA$2:$AA351,"ERREUR"),"")</f>
        <v/>
      </c>
    </row>
    <row r="352" spans="23:32" ht="25" customHeight="1">
      <c r="W352" s="19">
        <f t="shared" ca="1" si="56"/>
        <v>46118</v>
      </c>
      <c r="X352" s="9" t="str">
        <f t="shared" ca="1" si="57"/>
        <v>06042026</v>
      </c>
      <c r="Y352" s="9" t="b">
        <f t="shared" ca="1" si="58"/>
        <v>0</v>
      </c>
      <c r="Z352" s="9" t="str">
        <f ca="1">IF(Y352,COUNTIF($Y$2:$Y352,TRUE),"")</f>
        <v/>
      </c>
      <c r="AA352" s="9" t="str">
        <f t="shared" ca="1" si="59"/>
        <v/>
      </c>
      <c r="AB352" s="9" t="str">
        <f t="shared" ca="1" si="60"/>
        <v/>
      </c>
      <c r="AC352" s="9" t="str">
        <f t="shared" ca="1" si="61"/>
        <v/>
      </c>
      <c r="AD352" s="9" t="str">
        <f t="shared" ca="1" si="62"/>
        <v/>
      </c>
      <c r="AE352" s="9" t="str">
        <f t="shared" ca="1" si="63"/>
        <v/>
      </c>
      <c r="AF352" s="9" t="str">
        <f ca="1">IF(AND(Y352,AA352="ERREUR"),COUNTIF($AA$2:$AA352,"ERREUR"),"")</f>
        <v/>
      </c>
    </row>
    <row r="353" spans="23:32" ht="25" customHeight="1">
      <c r="W353" s="19">
        <f t="shared" ca="1" si="56"/>
        <v>46117</v>
      </c>
      <c r="X353" s="9" t="str">
        <f t="shared" ca="1" si="57"/>
        <v>05042026</v>
      </c>
      <c r="Y353" s="9" t="b">
        <f t="shared" ca="1" si="58"/>
        <v>0</v>
      </c>
      <c r="Z353" s="9" t="str">
        <f ca="1">IF(Y353,COUNTIF($Y$2:$Y353,TRUE),"")</f>
        <v/>
      </c>
      <c r="AA353" s="9" t="str">
        <f t="shared" ca="1" si="59"/>
        <v/>
      </c>
      <c r="AB353" s="9" t="str">
        <f t="shared" ca="1" si="60"/>
        <v/>
      </c>
      <c r="AC353" s="9" t="str">
        <f t="shared" ca="1" si="61"/>
        <v/>
      </c>
      <c r="AD353" s="9" t="str">
        <f t="shared" ca="1" si="62"/>
        <v/>
      </c>
      <c r="AE353" s="9" t="str">
        <f t="shared" ca="1" si="63"/>
        <v/>
      </c>
      <c r="AF353" s="9" t="str">
        <f ca="1">IF(AND(Y353,AA353="ERREUR"),COUNTIF($AA$2:$AA353,"ERREUR"),"")</f>
        <v/>
      </c>
    </row>
    <row r="354" spans="23:32" ht="25" customHeight="1">
      <c r="W354" s="19">
        <f t="shared" ca="1" si="56"/>
        <v>46116</v>
      </c>
      <c r="X354" s="9" t="str">
        <f t="shared" ca="1" si="57"/>
        <v>04042026</v>
      </c>
      <c r="Y354" s="9" t="b">
        <f t="shared" ca="1" si="58"/>
        <v>0</v>
      </c>
      <c r="Z354" s="9" t="str">
        <f ca="1">IF(Y354,COUNTIF($Y$2:$Y354,TRUE),"")</f>
        <v/>
      </c>
      <c r="AA354" s="9" t="str">
        <f t="shared" ca="1" si="59"/>
        <v/>
      </c>
      <c r="AB354" s="9" t="str">
        <f t="shared" ca="1" si="60"/>
        <v/>
      </c>
      <c r="AC354" s="9" t="str">
        <f t="shared" ca="1" si="61"/>
        <v/>
      </c>
      <c r="AD354" s="9" t="str">
        <f t="shared" ca="1" si="62"/>
        <v/>
      </c>
      <c r="AE354" s="9" t="str">
        <f t="shared" ca="1" si="63"/>
        <v/>
      </c>
      <c r="AF354" s="9" t="str">
        <f ca="1">IF(AND(Y354,AA354="ERREUR"),COUNTIF($AA$2:$AA354,"ERREUR"),"")</f>
        <v/>
      </c>
    </row>
    <row r="355" spans="23:32" ht="25" customHeight="1">
      <c r="W355" s="19">
        <f t="shared" ca="1" si="56"/>
        <v>46115</v>
      </c>
      <c r="X355" s="9" t="str">
        <f t="shared" ca="1" si="57"/>
        <v>03042026</v>
      </c>
      <c r="Y355" s="9" t="b">
        <f t="shared" ca="1" si="58"/>
        <v>0</v>
      </c>
      <c r="Z355" s="9" t="str">
        <f ca="1">IF(Y355,COUNTIF($Y$2:$Y355,TRUE),"")</f>
        <v/>
      </c>
      <c r="AA355" s="9" t="str">
        <f t="shared" ca="1" si="59"/>
        <v/>
      </c>
      <c r="AB355" s="9" t="str">
        <f t="shared" ca="1" si="60"/>
        <v/>
      </c>
      <c r="AC355" s="9" t="str">
        <f t="shared" ca="1" si="61"/>
        <v/>
      </c>
      <c r="AD355" s="9" t="str">
        <f t="shared" ca="1" si="62"/>
        <v/>
      </c>
      <c r="AE355" s="9" t="str">
        <f t="shared" ca="1" si="63"/>
        <v/>
      </c>
      <c r="AF355" s="9" t="str">
        <f ca="1">IF(AND(Y355,AA355="ERREUR"),COUNTIF($AA$2:$AA355,"ERREUR"),"")</f>
        <v/>
      </c>
    </row>
    <row r="356" spans="23:32" ht="25" customHeight="1">
      <c r="W356" s="19">
        <f t="shared" ca="1" si="56"/>
        <v>46114</v>
      </c>
      <c r="X356" s="9" t="str">
        <f t="shared" ca="1" si="57"/>
        <v>02042026</v>
      </c>
      <c r="Y356" s="9" t="b">
        <f t="shared" ca="1" si="58"/>
        <v>0</v>
      </c>
      <c r="Z356" s="9" t="str">
        <f ca="1">IF(Y356,COUNTIF($Y$2:$Y356,TRUE),"")</f>
        <v/>
      </c>
      <c r="AA356" s="9" t="str">
        <f t="shared" ca="1" si="59"/>
        <v/>
      </c>
      <c r="AB356" s="9" t="str">
        <f t="shared" ca="1" si="60"/>
        <v/>
      </c>
      <c r="AC356" s="9" t="str">
        <f t="shared" ca="1" si="61"/>
        <v/>
      </c>
      <c r="AD356" s="9" t="str">
        <f t="shared" ca="1" si="62"/>
        <v/>
      </c>
      <c r="AE356" s="9" t="str">
        <f t="shared" ca="1" si="63"/>
        <v/>
      </c>
      <c r="AF356" s="9" t="str">
        <f ca="1">IF(AND(Y356,AA356="ERREUR"),COUNTIF($AA$2:$AA356,"ERREUR"),"")</f>
        <v/>
      </c>
    </row>
    <row r="357" spans="23:32" ht="25" customHeight="1">
      <c r="W357" s="19">
        <f t="shared" ca="1" si="56"/>
        <v>46113</v>
      </c>
      <c r="X357" s="9" t="str">
        <f t="shared" ca="1" si="57"/>
        <v>01042026</v>
      </c>
      <c r="Y357" s="9" t="b">
        <f t="shared" ca="1" si="58"/>
        <v>0</v>
      </c>
      <c r="Z357" s="9" t="str">
        <f ca="1">IF(Y357,COUNTIF($Y$2:$Y357,TRUE),"")</f>
        <v/>
      </c>
      <c r="AA357" s="9" t="str">
        <f t="shared" ca="1" si="59"/>
        <v/>
      </c>
      <c r="AB357" s="9" t="str">
        <f t="shared" ca="1" si="60"/>
        <v/>
      </c>
      <c r="AC357" s="9" t="str">
        <f t="shared" ca="1" si="61"/>
        <v/>
      </c>
      <c r="AD357" s="9" t="str">
        <f t="shared" ca="1" si="62"/>
        <v/>
      </c>
      <c r="AE357" s="9" t="str">
        <f t="shared" ca="1" si="63"/>
        <v/>
      </c>
      <c r="AF357" s="9" t="str">
        <f ca="1">IF(AND(Y357,AA357="ERREUR"),COUNTIF($AA$2:$AA357,"ERREUR"),"")</f>
        <v/>
      </c>
    </row>
    <row r="358" spans="23:32" ht="25" customHeight="1">
      <c r="W358" s="19">
        <f t="shared" ca="1" si="56"/>
        <v>46112</v>
      </c>
      <c r="X358" s="9" t="str">
        <f t="shared" ca="1" si="57"/>
        <v>31032026</v>
      </c>
      <c r="Y358" s="9" t="b">
        <f t="shared" ca="1" si="58"/>
        <v>0</v>
      </c>
      <c r="Z358" s="9" t="str">
        <f ca="1">IF(Y358,COUNTIF($Y$2:$Y358,TRUE),"")</f>
        <v/>
      </c>
      <c r="AA358" s="9" t="str">
        <f t="shared" ca="1" si="59"/>
        <v/>
      </c>
      <c r="AB358" s="9" t="str">
        <f t="shared" ca="1" si="60"/>
        <v/>
      </c>
      <c r="AC358" s="9" t="str">
        <f t="shared" ca="1" si="61"/>
        <v/>
      </c>
      <c r="AD358" s="9" t="str">
        <f t="shared" ca="1" si="62"/>
        <v/>
      </c>
      <c r="AE358" s="9" t="str">
        <f t="shared" ca="1" si="63"/>
        <v/>
      </c>
      <c r="AF358" s="9" t="str">
        <f ca="1">IF(AND(Y358,AA358="ERREUR"),COUNTIF($AA$2:$AA358,"ERREUR"),"")</f>
        <v/>
      </c>
    </row>
    <row r="359" spans="23:32" ht="25" customHeight="1">
      <c r="W359" s="19">
        <f t="shared" ca="1" si="56"/>
        <v>46111</v>
      </c>
      <c r="X359" s="9" t="str">
        <f t="shared" ca="1" si="57"/>
        <v>30032026</v>
      </c>
      <c r="Y359" s="9" t="b">
        <f t="shared" ca="1" si="58"/>
        <v>0</v>
      </c>
      <c r="Z359" s="9" t="str">
        <f ca="1">IF(Y359,COUNTIF($Y$2:$Y359,TRUE),"")</f>
        <v/>
      </c>
      <c r="AA359" s="9" t="str">
        <f t="shared" ca="1" si="59"/>
        <v/>
      </c>
      <c r="AB359" s="9" t="str">
        <f t="shared" ca="1" si="60"/>
        <v/>
      </c>
      <c r="AC359" s="9" t="str">
        <f t="shared" ca="1" si="61"/>
        <v/>
      </c>
      <c r="AD359" s="9" t="str">
        <f t="shared" ca="1" si="62"/>
        <v/>
      </c>
      <c r="AE359" s="9" t="str">
        <f t="shared" ca="1" si="63"/>
        <v/>
      </c>
      <c r="AF359" s="9" t="str">
        <f ca="1">IF(AND(Y359,AA359="ERREUR"),COUNTIF($AA$2:$AA359,"ERREUR"),"")</f>
        <v/>
      </c>
    </row>
    <row r="360" spans="23:32" ht="25" customHeight="1">
      <c r="W360" s="19">
        <f t="shared" ca="1" si="56"/>
        <v>46110</v>
      </c>
      <c r="X360" s="9" t="str">
        <f t="shared" ca="1" si="57"/>
        <v>29032026</v>
      </c>
      <c r="Y360" s="9" t="b">
        <f t="shared" ca="1" si="58"/>
        <v>0</v>
      </c>
      <c r="Z360" s="9" t="str">
        <f ca="1">IF(Y360,COUNTIF($Y$2:$Y360,TRUE),"")</f>
        <v/>
      </c>
      <c r="AA360" s="9" t="str">
        <f t="shared" ca="1" si="59"/>
        <v/>
      </c>
      <c r="AB360" s="9" t="str">
        <f t="shared" ca="1" si="60"/>
        <v/>
      </c>
      <c r="AC360" s="9" t="str">
        <f t="shared" ca="1" si="61"/>
        <v/>
      </c>
      <c r="AD360" s="9" t="str">
        <f t="shared" ca="1" si="62"/>
        <v/>
      </c>
      <c r="AE360" s="9" t="str">
        <f t="shared" ca="1" si="63"/>
        <v/>
      </c>
      <c r="AF360" s="9" t="str">
        <f ca="1">IF(AND(Y360,AA360="ERREUR"),COUNTIF($AA$2:$AA360,"ERREUR"),"")</f>
        <v/>
      </c>
    </row>
    <row r="361" spans="23:32" ht="25" customHeight="1">
      <c r="W361" s="19">
        <f t="shared" ca="1" si="56"/>
        <v>46109</v>
      </c>
      <c r="X361" s="9" t="str">
        <f t="shared" ca="1" si="57"/>
        <v>28032026</v>
      </c>
      <c r="Y361" s="9" t="b">
        <f t="shared" ca="1" si="58"/>
        <v>0</v>
      </c>
      <c r="Z361" s="9" t="str">
        <f ca="1">IF(Y361,COUNTIF($Y$2:$Y361,TRUE),"")</f>
        <v/>
      </c>
      <c r="AA361" s="9" t="str">
        <f t="shared" ca="1" si="59"/>
        <v/>
      </c>
      <c r="AB361" s="9" t="str">
        <f t="shared" ca="1" si="60"/>
        <v/>
      </c>
      <c r="AC361" s="9" t="str">
        <f t="shared" ca="1" si="61"/>
        <v/>
      </c>
      <c r="AD361" s="9" t="str">
        <f t="shared" ca="1" si="62"/>
        <v/>
      </c>
      <c r="AE361" s="9" t="str">
        <f t="shared" ca="1" si="63"/>
        <v/>
      </c>
      <c r="AF361" s="9" t="str">
        <f ca="1">IF(AND(Y361,AA361="ERREUR"),COUNTIF($AA$2:$AA361,"ERREUR"),"")</f>
        <v/>
      </c>
    </row>
    <row r="362" spans="23:32" ht="25" customHeight="1">
      <c r="W362" s="19">
        <f t="shared" ca="1" si="56"/>
        <v>46108</v>
      </c>
      <c r="X362" s="9" t="str">
        <f t="shared" ca="1" si="57"/>
        <v>27032026</v>
      </c>
      <c r="Y362" s="9" t="b">
        <f t="shared" ca="1" si="58"/>
        <v>0</v>
      </c>
      <c r="Z362" s="9" t="str">
        <f ca="1">IF(Y362,COUNTIF($Y$2:$Y362,TRUE),"")</f>
        <v/>
      </c>
      <c r="AA362" s="9" t="str">
        <f t="shared" ca="1" si="59"/>
        <v/>
      </c>
      <c r="AB362" s="9" t="str">
        <f t="shared" ca="1" si="60"/>
        <v/>
      </c>
      <c r="AC362" s="9" t="str">
        <f t="shared" ca="1" si="61"/>
        <v/>
      </c>
      <c r="AD362" s="9" t="str">
        <f t="shared" ca="1" si="62"/>
        <v/>
      </c>
      <c r="AE362" s="9" t="str">
        <f t="shared" ca="1" si="63"/>
        <v/>
      </c>
      <c r="AF362" s="9" t="str">
        <f ca="1">IF(AND(Y362,AA362="ERREUR"),COUNTIF($AA$2:$AA362,"ERREUR"),"")</f>
        <v/>
      </c>
    </row>
    <row r="363" spans="23:32" ht="25" customHeight="1">
      <c r="W363" s="19">
        <f t="shared" ca="1" si="56"/>
        <v>46107</v>
      </c>
      <c r="X363" s="9" t="str">
        <f t="shared" ca="1" si="57"/>
        <v>26032026</v>
      </c>
      <c r="Y363" s="9" t="b">
        <f t="shared" ca="1" si="58"/>
        <v>0</v>
      </c>
      <c r="Z363" s="9" t="str">
        <f ca="1">IF(Y363,COUNTIF($Y$2:$Y363,TRUE),"")</f>
        <v/>
      </c>
      <c r="AA363" s="9" t="str">
        <f t="shared" ca="1" si="59"/>
        <v/>
      </c>
      <c r="AB363" s="9" t="str">
        <f t="shared" ca="1" si="60"/>
        <v/>
      </c>
      <c r="AC363" s="9" t="str">
        <f t="shared" ca="1" si="61"/>
        <v/>
      </c>
      <c r="AD363" s="9" t="str">
        <f t="shared" ca="1" si="62"/>
        <v/>
      </c>
      <c r="AE363" s="9" t="str">
        <f t="shared" ca="1" si="63"/>
        <v/>
      </c>
      <c r="AF363" s="9" t="str">
        <f ca="1">IF(AND(Y363,AA363="ERREUR"),COUNTIF($AA$2:$AA363,"ERREUR"),"")</f>
        <v/>
      </c>
    </row>
    <row r="364" spans="23:32" ht="25" customHeight="1">
      <c r="W364" s="19">
        <f t="shared" ca="1" si="56"/>
        <v>46106</v>
      </c>
      <c r="X364" s="9" t="str">
        <f t="shared" ca="1" si="57"/>
        <v>25032026</v>
      </c>
      <c r="Y364" s="9" t="b">
        <f t="shared" ca="1" si="58"/>
        <v>0</v>
      </c>
      <c r="Z364" s="9" t="str">
        <f ca="1">IF(Y364,COUNTIF($Y$2:$Y364,TRUE),"")</f>
        <v/>
      </c>
      <c r="AA364" s="9" t="str">
        <f t="shared" ca="1" si="59"/>
        <v/>
      </c>
      <c r="AB364" s="9" t="str">
        <f t="shared" ca="1" si="60"/>
        <v/>
      </c>
      <c r="AC364" s="9" t="str">
        <f t="shared" ca="1" si="61"/>
        <v/>
      </c>
      <c r="AD364" s="9" t="str">
        <f t="shared" ca="1" si="62"/>
        <v/>
      </c>
      <c r="AE364" s="9" t="str">
        <f t="shared" ca="1" si="63"/>
        <v/>
      </c>
      <c r="AF364" s="9" t="str">
        <f ca="1">IF(AND(Y364,AA364="ERREUR"),COUNTIF($AA$2:$AA364,"ERREUR"),"")</f>
        <v/>
      </c>
    </row>
    <row r="365" spans="23:32" ht="25" customHeight="1">
      <c r="W365" s="19">
        <f t="shared" ca="1" si="56"/>
        <v>46105</v>
      </c>
      <c r="X365" s="9" t="str">
        <f t="shared" ca="1" si="57"/>
        <v>24032026</v>
      </c>
      <c r="Y365" s="9" t="b">
        <f t="shared" ca="1" si="58"/>
        <v>0</v>
      </c>
      <c r="Z365" s="9" t="str">
        <f ca="1">IF(Y365,COUNTIF($Y$2:$Y365,TRUE),"")</f>
        <v/>
      </c>
      <c r="AA365" s="9" t="str">
        <f t="shared" ca="1" si="59"/>
        <v/>
      </c>
      <c r="AB365" s="9" t="str">
        <f t="shared" ca="1" si="60"/>
        <v/>
      </c>
      <c r="AC365" s="9" t="str">
        <f t="shared" ca="1" si="61"/>
        <v/>
      </c>
      <c r="AD365" s="9" t="str">
        <f t="shared" ca="1" si="62"/>
        <v/>
      </c>
      <c r="AE365" s="9" t="str">
        <f t="shared" ca="1" si="63"/>
        <v/>
      </c>
      <c r="AF365" s="9" t="str">
        <f ca="1">IF(AND(Y365,AA365="ERREUR"),COUNTIF($AA$2:$AA365,"ERREUR"),"")</f>
        <v/>
      </c>
    </row>
    <row r="366" spans="23:32" ht="25" customHeight="1">
      <c r="W366" s="19">
        <f t="shared" ca="1" si="56"/>
        <v>46104</v>
      </c>
      <c r="X366" s="9" t="str">
        <f t="shared" ca="1" si="57"/>
        <v>23032026</v>
      </c>
      <c r="Y366" s="9" t="b">
        <f t="shared" ca="1" si="58"/>
        <v>0</v>
      </c>
      <c r="Z366" s="9" t="str">
        <f ca="1">IF(Y366,COUNTIF($Y$2:$Y366,TRUE),"")</f>
        <v/>
      </c>
      <c r="AA366" s="9" t="str">
        <f t="shared" ca="1" si="59"/>
        <v/>
      </c>
      <c r="AB366" s="9" t="str">
        <f t="shared" ca="1" si="60"/>
        <v/>
      </c>
      <c r="AC366" s="9" t="str">
        <f t="shared" ca="1" si="61"/>
        <v/>
      </c>
      <c r="AD366" s="9" t="str">
        <f t="shared" ca="1" si="62"/>
        <v/>
      </c>
      <c r="AE366" s="9" t="str">
        <f t="shared" ca="1" si="63"/>
        <v/>
      </c>
      <c r="AF366" s="9" t="str">
        <f ca="1">IF(AND(Y366,AA366="ERREUR"),COUNTIF($AA$2:$AA366,"ERREUR"),"")</f>
        <v/>
      </c>
    </row>
    <row r="367" spans="23:32" ht="25" customHeight="1">
      <c r="W367" s="19">
        <f t="shared" ca="1" si="56"/>
        <v>46103</v>
      </c>
      <c r="X367" s="9" t="str">
        <f t="shared" ca="1" si="57"/>
        <v>22032026</v>
      </c>
      <c r="Y367" s="9" t="b">
        <f t="shared" ca="1" si="58"/>
        <v>0</v>
      </c>
      <c r="Z367" s="9" t="str">
        <f ca="1">IF(Y367,COUNTIF($Y$2:$Y367,TRUE),"")</f>
        <v/>
      </c>
      <c r="AA367" s="9" t="str">
        <f t="shared" ca="1" si="59"/>
        <v/>
      </c>
      <c r="AB367" s="9" t="str">
        <f t="shared" ca="1" si="60"/>
        <v/>
      </c>
      <c r="AC367" s="9" t="str">
        <f t="shared" ca="1" si="61"/>
        <v/>
      </c>
      <c r="AD367" s="9" t="str">
        <f t="shared" ca="1" si="62"/>
        <v/>
      </c>
      <c r="AE367" s="9" t="str">
        <f t="shared" ca="1" si="63"/>
        <v/>
      </c>
      <c r="AF367" s="9" t="str">
        <f ca="1">IF(AND(Y367,AA367="ERREUR"),COUNTIF($AA$2:$AA367,"ERREUR"),"")</f>
        <v/>
      </c>
    </row>
    <row r="368" spans="23:32" ht="25" customHeight="1">
      <c r="W368" s="19">
        <f t="shared" ca="1" si="56"/>
        <v>46102</v>
      </c>
      <c r="X368" s="9" t="str">
        <f t="shared" ca="1" si="57"/>
        <v>21032026</v>
      </c>
      <c r="Y368" s="9" t="b">
        <f t="shared" ca="1" si="58"/>
        <v>0</v>
      </c>
      <c r="Z368" s="9" t="str">
        <f ca="1">IF(Y368,COUNTIF($Y$2:$Y368,TRUE),"")</f>
        <v/>
      </c>
      <c r="AA368" s="9" t="str">
        <f t="shared" ca="1" si="59"/>
        <v/>
      </c>
      <c r="AB368" s="9" t="str">
        <f t="shared" ca="1" si="60"/>
        <v/>
      </c>
      <c r="AC368" s="9" t="str">
        <f t="shared" ca="1" si="61"/>
        <v/>
      </c>
      <c r="AD368" s="9" t="str">
        <f t="shared" ca="1" si="62"/>
        <v/>
      </c>
      <c r="AE368" s="9" t="str">
        <f t="shared" ca="1" si="63"/>
        <v/>
      </c>
      <c r="AF368" s="9" t="str">
        <f ca="1">IF(AND(Y368,AA368="ERREUR"),COUNTIF($AA$2:$AA368,"ERREUR"),"")</f>
        <v/>
      </c>
    </row>
    <row r="369" spans="23:32" ht="25" customHeight="1">
      <c r="W369" s="19">
        <f t="shared" ca="1" si="56"/>
        <v>46101</v>
      </c>
      <c r="X369" s="9" t="str">
        <f t="shared" ca="1" si="57"/>
        <v>20032026</v>
      </c>
      <c r="Y369" s="9" t="b">
        <f t="shared" ca="1" si="58"/>
        <v>0</v>
      </c>
      <c r="Z369" s="9" t="str">
        <f ca="1">IF(Y369,COUNTIF($Y$2:$Y369,TRUE),"")</f>
        <v/>
      </c>
      <c r="AA369" s="9" t="str">
        <f t="shared" ca="1" si="59"/>
        <v/>
      </c>
      <c r="AB369" s="9" t="str">
        <f t="shared" ca="1" si="60"/>
        <v/>
      </c>
      <c r="AC369" s="9" t="str">
        <f t="shared" ca="1" si="61"/>
        <v/>
      </c>
      <c r="AD369" s="9" t="str">
        <f t="shared" ca="1" si="62"/>
        <v/>
      </c>
      <c r="AE369" s="9" t="str">
        <f t="shared" ca="1" si="63"/>
        <v/>
      </c>
      <c r="AF369" s="9" t="str">
        <f ca="1">IF(AND(Y369,AA369="ERREUR"),COUNTIF($AA$2:$AA369,"ERREUR"),"")</f>
        <v/>
      </c>
    </row>
    <row r="370" spans="23:32" ht="25" customHeight="1">
      <c r="W370" s="19">
        <f t="shared" ca="1" si="56"/>
        <v>46100</v>
      </c>
      <c r="X370" s="9" t="str">
        <f t="shared" ca="1" si="57"/>
        <v>19032026</v>
      </c>
      <c r="Y370" s="9" t="b">
        <f t="shared" ca="1" si="58"/>
        <v>0</v>
      </c>
      <c r="Z370" s="9" t="str">
        <f ca="1">IF(Y370,COUNTIF($Y$2:$Y370,TRUE),"")</f>
        <v/>
      </c>
      <c r="AA370" s="9" t="str">
        <f t="shared" ca="1" si="59"/>
        <v/>
      </c>
      <c r="AB370" s="9" t="str">
        <f t="shared" ca="1" si="60"/>
        <v/>
      </c>
      <c r="AC370" s="9" t="str">
        <f t="shared" ca="1" si="61"/>
        <v/>
      </c>
      <c r="AD370" s="9" t="str">
        <f t="shared" ca="1" si="62"/>
        <v/>
      </c>
      <c r="AE370" s="9" t="str">
        <f t="shared" ca="1" si="63"/>
        <v/>
      </c>
      <c r="AF370" s="9" t="str">
        <f ca="1">IF(AND(Y370,AA370="ERREUR"),COUNTIF($AA$2:$AA370,"ERREUR"),"")</f>
        <v/>
      </c>
    </row>
    <row r="371" spans="23:32" ht="25" customHeight="1">
      <c r="W371" s="19">
        <f t="shared" ca="1" si="56"/>
        <v>46099</v>
      </c>
      <c r="X371" s="9" t="str">
        <f t="shared" ca="1" si="57"/>
        <v>18032026</v>
      </c>
      <c r="Y371" s="9" t="b">
        <f t="shared" ca="1" si="58"/>
        <v>0</v>
      </c>
      <c r="Z371" s="9" t="str">
        <f ca="1">IF(Y371,COUNTIF($Y$2:$Y371,TRUE),"")</f>
        <v/>
      </c>
      <c r="AA371" s="9" t="str">
        <f t="shared" ca="1" si="59"/>
        <v/>
      </c>
      <c r="AB371" s="9" t="str">
        <f t="shared" ca="1" si="60"/>
        <v/>
      </c>
      <c r="AC371" s="9" t="str">
        <f t="shared" ca="1" si="61"/>
        <v/>
      </c>
      <c r="AD371" s="9" t="str">
        <f t="shared" ca="1" si="62"/>
        <v/>
      </c>
      <c r="AE371" s="9" t="str">
        <f t="shared" ca="1" si="63"/>
        <v/>
      </c>
      <c r="AF371" s="9" t="str">
        <f ca="1">IF(AND(Y371,AA371="ERREUR"),COUNTIF($AA$2:$AA371,"ERREUR"),"")</f>
        <v/>
      </c>
    </row>
    <row r="372" spans="23:32" ht="25" customHeight="1">
      <c r="W372" s="19">
        <f t="shared" ca="1" si="56"/>
        <v>46098</v>
      </c>
      <c r="X372" s="9" t="str">
        <f t="shared" ca="1" si="57"/>
        <v>17032026</v>
      </c>
      <c r="Y372" s="9" t="b">
        <f t="shared" ca="1" si="58"/>
        <v>0</v>
      </c>
      <c r="Z372" s="9" t="str">
        <f ca="1">IF(Y372,COUNTIF($Y$2:$Y372,TRUE),"")</f>
        <v/>
      </c>
      <c r="AA372" s="9" t="str">
        <f t="shared" ca="1" si="59"/>
        <v/>
      </c>
      <c r="AB372" s="9" t="str">
        <f t="shared" ca="1" si="60"/>
        <v/>
      </c>
      <c r="AC372" s="9" t="str">
        <f t="shared" ca="1" si="61"/>
        <v/>
      </c>
      <c r="AD372" s="9" t="str">
        <f t="shared" ca="1" si="62"/>
        <v/>
      </c>
      <c r="AE372" s="9" t="str">
        <f t="shared" ca="1" si="63"/>
        <v/>
      </c>
      <c r="AF372" s="9" t="str">
        <f ca="1">IF(AND(Y372,AA372="ERREUR"),COUNTIF($AA$2:$AA372,"ERREUR"),"")</f>
        <v/>
      </c>
    </row>
    <row r="373" spans="23:32" ht="25" customHeight="1">
      <c r="W373" s="19">
        <f t="shared" ca="1" si="56"/>
        <v>46097</v>
      </c>
      <c r="X373" s="9" t="str">
        <f t="shared" ca="1" si="57"/>
        <v>16032026</v>
      </c>
      <c r="Y373" s="9" t="b">
        <f t="shared" ca="1" si="58"/>
        <v>0</v>
      </c>
      <c r="Z373" s="9" t="str">
        <f ca="1">IF(Y373,COUNTIF($Y$2:$Y373,TRUE),"")</f>
        <v/>
      </c>
      <c r="AA373" s="9" t="str">
        <f t="shared" ca="1" si="59"/>
        <v/>
      </c>
      <c r="AB373" s="9" t="str">
        <f t="shared" ca="1" si="60"/>
        <v/>
      </c>
      <c r="AC373" s="9" t="str">
        <f t="shared" ca="1" si="61"/>
        <v/>
      </c>
      <c r="AD373" s="9" t="str">
        <f t="shared" ca="1" si="62"/>
        <v/>
      </c>
      <c r="AE373" s="9" t="str">
        <f t="shared" ca="1" si="63"/>
        <v/>
      </c>
      <c r="AF373" s="9" t="str">
        <f ca="1">IF(AND(Y373,AA373="ERREUR"),COUNTIF($AA$2:$AA373,"ERREUR"),"")</f>
        <v/>
      </c>
    </row>
    <row r="374" spans="23:32" ht="25" customHeight="1">
      <c r="W374" s="19">
        <f t="shared" ca="1" si="56"/>
        <v>46096</v>
      </c>
      <c r="X374" s="9" t="str">
        <f t="shared" ca="1" si="57"/>
        <v>15032026</v>
      </c>
      <c r="Y374" s="9" t="b">
        <f t="shared" ca="1" si="58"/>
        <v>0</v>
      </c>
      <c r="Z374" s="9" t="str">
        <f ca="1">IF(Y374,COUNTIF($Y$2:$Y374,TRUE),"")</f>
        <v/>
      </c>
      <c r="AA374" s="9" t="str">
        <f t="shared" ca="1" si="59"/>
        <v/>
      </c>
      <c r="AB374" s="9" t="str">
        <f t="shared" ca="1" si="60"/>
        <v/>
      </c>
      <c r="AC374" s="9" t="str">
        <f t="shared" ca="1" si="61"/>
        <v/>
      </c>
      <c r="AD374" s="9" t="str">
        <f t="shared" ca="1" si="62"/>
        <v/>
      </c>
      <c r="AE374" s="9" t="str">
        <f t="shared" ca="1" si="63"/>
        <v/>
      </c>
      <c r="AF374" s="9" t="str">
        <f ca="1">IF(AND(Y374,AA374="ERREUR"),COUNTIF($AA$2:$AA374,"ERREUR"),"")</f>
        <v/>
      </c>
    </row>
    <row r="375" spans="23:32" ht="25" customHeight="1">
      <c r="W375" s="19">
        <f t="shared" ca="1" si="56"/>
        <v>46095</v>
      </c>
      <c r="X375" s="9" t="str">
        <f t="shared" ca="1" si="57"/>
        <v>14032026</v>
      </c>
      <c r="Y375" s="9" t="b">
        <f t="shared" ca="1" si="58"/>
        <v>0</v>
      </c>
      <c r="Z375" s="9" t="str">
        <f ca="1">IF(Y375,COUNTIF($Y$2:$Y375,TRUE),"")</f>
        <v/>
      </c>
      <c r="AA375" s="9" t="str">
        <f t="shared" ca="1" si="59"/>
        <v/>
      </c>
      <c r="AB375" s="9" t="str">
        <f t="shared" ca="1" si="60"/>
        <v/>
      </c>
      <c r="AC375" s="9" t="str">
        <f t="shared" ca="1" si="61"/>
        <v/>
      </c>
      <c r="AD375" s="9" t="str">
        <f t="shared" ca="1" si="62"/>
        <v/>
      </c>
      <c r="AE375" s="9" t="str">
        <f t="shared" ca="1" si="63"/>
        <v/>
      </c>
      <c r="AF375" s="9" t="str">
        <f ca="1">IF(AND(Y375,AA375="ERREUR"),COUNTIF($AA$2:$AA375,"ERREUR"),"")</f>
        <v/>
      </c>
    </row>
    <row r="376" spans="23:32" ht="25" customHeight="1">
      <c r="W376" s="19">
        <f t="shared" ca="1" si="56"/>
        <v>46094</v>
      </c>
      <c r="X376" s="9" t="str">
        <f t="shared" ca="1" si="57"/>
        <v>13032026</v>
      </c>
      <c r="Y376" s="9" t="b">
        <f t="shared" ca="1" si="58"/>
        <v>0</v>
      </c>
      <c r="Z376" s="9" t="str">
        <f ca="1">IF(Y376,COUNTIF($Y$2:$Y376,TRUE),"")</f>
        <v/>
      </c>
      <c r="AA376" s="9" t="str">
        <f t="shared" ca="1" si="59"/>
        <v/>
      </c>
      <c r="AB376" s="9" t="str">
        <f t="shared" ca="1" si="60"/>
        <v/>
      </c>
      <c r="AC376" s="9" t="str">
        <f t="shared" ca="1" si="61"/>
        <v/>
      </c>
      <c r="AD376" s="9" t="str">
        <f t="shared" ca="1" si="62"/>
        <v/>
      </c>
      <c r="AE376" s="9" t="str">
        <f t="shared" ca="1" si="63"/>
        <v/>
      </c>
      <c r="AF376" s="9" t="str">
        <f ca="1">IF(AND(Y376,AA376="ERREUR"),COUNTIF($AA$2:$AA376,"ERREUR"),"")</f>
        <v/>
      </c>
    </row>
    <row r="377" spans="23:32" ht="25" customHeight="1">
      <c r="W377" s="19">
        <f t="shared" ca="1" si="56"/>
        <v>46093</v>
      </c>
      <c r="X377" s="9" t="str">
        <f t="shared" ca="1" si="57"/>
        <v>12032026</v>
      </c>
      <c r="Y377" s="9" t="b">
        <f t="shared" ca="1" si="58"/>
        <v>0</v>
      </c>
      <c r="Z377" s="9" t="str">
        <f ca="1">IF(Y377,COUNTIF($Y$2:$Y377,TRUE),"")</f>
        <v/>
      </c>
      <c r="AA377" s="9" t="str">
        <f t="shared" ca="1" si="59"/>
        <v/>
      </c>
      <c r="AB377" s="9" t="str">
        <f t="shared" ca="1" si="60"/>
        <v/>
      </c>
      <c r="AC377" s="9" t="str">
        <f t="shared" ca="1" si="61"/>
        <v/>
      </c>
      <c r="AD377" s="9" t="str">
        <f t="shared" ca="1" si="62"/>
        <v/>
      </c>
      <c r="AE377" s="9" t="str">
        <f t="shared" ca="1" si="63"/>
        <v/>
      </c>
      <c r="AF377" s="9" t="str">
        <f ca="1">IF(AND(Y377,AA377="ERREUR"),COUNTIF($AA$2:$AA377,"ERREUR"),"")</f>
        <v/>
      </c>
    </row>
    <row r="378" spans="23:32" ht="25" customHeight="1">
      <c r="W378" s="19">
        <f t="shared" ca="1" si="56"/>
        <v>46092</v>
      </c>
      <c r="X378" s="9" t="str">
        <f t="shared" ca="1" si="57"/>
        <v>11032026</v>
      </c>
      <c r="Y378" s="9" t="b">
        <f t="shared" ca="1" si="58"/>
        <v>0</v>
      </c>
      <c r="Z378" s="9" t="str">
        <f ca="1">IF(Y378,COUNTIF($Y$2:$Y378,TRUE),"")</f>
        <v/>
      </c>
      <c r="AA378" s="9" t="str">
        <f t="shared" ca="1" si="59"/>
        <v/>
      </c>
      <c r="AB378" s="9" t="str">
        <f t="shared" ca="1" si="60"/>
        <v/>
      </c>
      <c r="AC378" s="9" t="str">
        <f t="shared" ca="1" si="61"/>
        <v/>
      </c>
      <c r="AD378" s="9" t="str">
        <f t="shared" ca="1" si="62"/>
        <v/>
      </c>
      <c r="AE378" s="9" t="str">
        <f t="shared" ca="1" si="63"/>
        <v/>
      </c>
      <c r="AF378" s="9" t="str">
        <f ca="1">IF(AND(Y378,AA378="ERREUR"),COUNTIF($AA$2:$AA378,"ERREUR"),"")</f>
        <v/>
      </c>
    </row>
    <row r="379" spans="23:32" ht="25" customHeight="1">
      <c r="W379" s="19">
        <f t="shared" ca="1" si="56"/>
        <v>46091</v>
      </c>
      <c r="X379" s="9" t="str">
        <f t="shared" ca="1" si="57"/>
        <v>10032026</v>
      </c>
      <c r="Y379" s="9" t="b">
        <f t="shared" ca="1" si="58"/>
        <v>0</v>
      </c>
      <c r="Z379" s="9" t="str">
        <f ca="1">IF(Y379,COUNTIF($Y$2:$Y379,TRUE),"")</f>
        <v/>
      </c>
      <c r="AA379" s="9" t="str">
        <f t="shared" ca="1" si="59"/>
        <v/>
      </c>
      <c r="AB379" s="9" t="str">
        <f t="shared" ca="1" si="60"/>
        <v/>
      </c>
      <c r="AC379" s="9" t="str">
        <f t="shared" ca="1" si="61"/>
        <v/>
      </c>
      <c r="AD379" s="9" t="str">
        <f t="shared" ca="1" si="62"/>
        <v/>
      </c>
      <c r="AE379" s="9" t="str">
        <f t="shared" ca="1" si="63"/>
        <v/>
      </c>
      <c r="AF379" s="9" t="str">
        <f ca="1">IF(AND(Y379,AA379="ERREUR"),COUNTIF($AA$2:$AA379,"ERREUR"),"")</f>
        <v/>
      </c>
    </row>
    <row r="380" spans="23:32" ht="25" customHeight="1">
      <c r="W380" s="19">
        <f t="shared" ca="1" si="56"/>
        <v>46090</v>
      </c>
      <c r="X380" s="9" t="str">
        <f t="shared" ca="1" si="57"/>
        <v>09032026</v>
      </c>
      <c r="Y380" s="9" t="b">
        <f t="shared" ca="1" si="58"/>
        <v>0</v>
      </c>
      <c r="Z380" s="9" t="str">
        <f ca="1">IF(Y380,COUNTIF($Y$2:$Y380,TRUE),"")</f>
        <v/>
      </c>
      <c r="AA380" s="9" t="str">
        <f t="shared" ca="1" si="59"/>
        <v/>
      </c>
      <c r="AB380" s="9" t="str">
        <f t="shared" ca="1" si="60"/>
        <v/>
      </c>
      <c r="AC380" s="9" t="str">
        <f t="shared" ca="1" si="61"/>
        <v/>
      </c>
      <c r="AD380" s="9" t="str">
        <f t="shared" ca="1" si="62"/>
        <v/>
      </c>
      <c r="AE380" s="9" t="str">
        <f t="shared" ca="1" si="63"/>
        <v/>
      </c>
      <c r="AF380" s="9" t="str">
        <f ca="1">IF(AND(Y380,AA380="ERREUR"),COUNTIF($AA$2:$AA380,"ERREUR"),"")</f>
        <v/>
      </c>
    </row>
    <row r="381" spans="23:32" ht="25" customHeight="1">
      <c r="W381" s="19">
        <f t="shared" ca="1" si="56"/>
        <v>46089</v>
      </c>
      <c r="X381" s="9" t="str">
        <f t="shared" ca="1" si="57"/>
        <v>08032026</v>
      </c>
      <c r="Y381" s="9" t="b">
        <f t="shared" ca="1" si="58"/>
        <v>0</v>
      </c>
      <c r="Z381" s="9" t="str">
        <f ca="1">IF(Y381,COUNTIF($Y$2:$Y381,TRUE),"")</f>
        <v/>
      </c>
      <c r="AA381" s="9" t="str">
        <f t="shared" ca="1" si="59"/>
        <v/>
      </c>
      <c r="AB381" s="9" t="str">
        <f t="shared" ca="1" si="60"/>
        <v/>
      </c>
      <c r="AC381" s="9" t="str">
        <f t="shared" ca="1" si="61"/>
        <v/>
      </c>
      <c r="AD381" s="9" t="str">
        <f t="shared" ca="1" si="62"/>
        <v/>
      </c>
      <c r="AE381" s="9" t="str">
        <f t="shared" ca="1" si="63"/>
        <v/>
      </c>
      <c r="AF381" s="9" t="str">
        <f ca="1">IF(AND(Y381,AA381="ERREUR"),COUNTIF($AA$2:$AA381,"ERREUR"),"")</f>
        <v/>
      </c>
    </row>
    <row r="382" spans="23:32" ht="25" customHeight="1">
      <c r="W382" s="19">
        <f t="shared" ca="1" si="56"/>
        <v>46088</v>
      </c>
      <c r="X382" s="9" t="str">
        <f t="shared" ca="1" si="57"/>
        <v>07032026</v>
      </c>
      <c r="Y382" s="9" t="b">
        <f t="shared" ca="1" si="58"/>
        <v>0</v>
      </c>
      <c r="Z382" s="9" t="str">
        <f ca="1">IF(Y382,COUNTIF($Y$2:$Y382,TRUE),"")</f>
        <v/>
      </c>
      <c r="AA382" s="9" t="str">
        <f t="shared" ca="1" si="59"/>
        <v/>
      </c>
      <c r="AB382" s="9" t="str">
        <f t="shared" ca="1" si="60"/>
        <v/>
      </c>
      <c r="AC382" s="9" t="str">
        <f t="shared" ca="1" si="61"/>
        <v/>
      </c>
      <c r="AD382" s="9" t="str">
        <f t="shared" ca="1" si="62"/>
        <v/>
      </c>
      <c r="AE382" s="9" t="str">
        <f t="shared" ca="1" si="63"/>
        <v/>
      </c>
      <c r="AF382" s="9" t="str">
        <f ca="1">IF(AND(Y382,AA382="ERREUR"),COUNTIF($AA$2:$AA382,"ERREUR"),"")</f>
        <v/>
      </c>
    </row>
    <row r="383" spans="23:32" ht="25" customHeight="1">
      <c r="W383" s="19">
        <f t="shared" ca="1" si="56"/>
        <v>46087</v>
      </c>
      <c r="X383" s="9" t="str">
        <f t="shared" ca="1" si="57"/>
        <v>06032026</v>
      </c>
      <c r="Y383" s="9" t="b">
        <f t="shared" ca="1" si="58"/>
        <v>0</v>
      </c>
      <c r="Z383" s="9" t="str">
        <f ca="1">IF(Y383,COUNTIF($Y$2:$Y383,TRUE),"")</f>
        <v/>
      </c>
      <c r="AA383" s="9" t="str">
        <f t="shared" ca="1" si="59"/>
        <v/>
      </c>
      <c r="AB383" s="9" t="str">
        <f t="shared" ca="1" si="60"/>
        <v/>
      </c>
      <c r="AC383" s="9" t="str">
        <f t="shared" ca="1" si="61"/>
        <v/>
      </c>
      <c r="AD383" s="9" t="str">
        <f t="shared" ca="1" si="62"/>
        <v/>
      </c>
      <c r="AE383" s="9" t="str">
        <f t="shared" ca="1" si="63"/>
        <v/>
      </c>
      <c r="AF383" s="9" t="str">
        <f ca="1">IF(AND(Y383,AA383="ERREUR"),COUNTIF($AA$2:$AA383,"ERREUR"),"")</f>
        <v/>
      </c>
    </row>
    <row r="384" spans="23:32" ht="25" customHeight="1">
      <c r="W384" s="19">
        <f t="shared" ca="1" si="56"/>
        <v>46086</v>
      </c>
      <c r="X384" s="9" t="str">
        <f t="shared" ca="1" si="57"/>
        <v>05032026</v>
      </c>
      <c r="Y384" s="9" t="b">
        <f t="shared" ca="1" si="58"/>
        <v>0</v>
      </c>
      <c r="Z384" s="9" t="str">
        <f ca="1">IF(Y384,COUNTIF($Y$2:$Y384,TRUE),"")</f>
        <v/>
      </c>
      <c r="AA384" s="9" t="str">
        <f t="shared" ca="1" si="59"/>
        <v/>
      </c>
      <c r="AB384" s="9" t="str">
        <f t="shared" ca="1" si="60"/>
        <v/>
      </c>
      <c r="AC384" s="9" t="str">
        <f t="shared" ca="1" si="61"/>
        <v/>
      </c>
      <c r="AD384" s="9" t="str">
        <f t="shared" ca="1" si="62"/>
        <v/>
      </c>
      <c r="AE384" s="9" t="str">
        <f t="shared" ca="1" si="63"/>
        <v/>
      </c>
      <c r="AF384" s="9" t="str">
        <f ca="1">IF(AND(Y384,AA384="ERREUR"),COUNTIF($AA$2:$AA384,"ERREUR"),"")</f>
        <v/>
      </c>
    </row>
    <row r="385" spans="23:32" ht="25" customHeight="1">
      <c r="W385" s="19">
        <f t="shared" ca="1" si="56"/>
        <v>46085</v>
      </c>
      <c r="X385" s="9" t="str">
        <f t="shared" ca="1" si="57"/>
        <v>04032026</v>
      </c>
      <c r="Y385" s="9" t="b">
        <f t="shared" ca="1" si="58"/>
        <v>0</v>
      </c>
      <c r="Z385" s="9" t="str">
        <f ca="1">IF(Y385,COUNTIF($Y$2:$Y385,TRUE),"")</f>
        <v/>
      </c>
      <c r="AA385" s="9" t="str">
        <f t="shared" ca="1" si="59"/>
        <v/>
      </c>
      <c r="AB385" s="9" t="str">
        <f t="shared" ca="1" si="60"/>
        <v/>
      </c>
      <c r="AC385" s="9" t="str">
        <f t="shared" ca="1" si="61"/>
        <v/>
      </c>
      <c r="AD385" s="9" t="str">
        <f t="shared" ca="1" si="62"/>
        <v/>
      </c>
      <c r="AE385" s="9" t="str">
        <f t="shared" ca="1" si="63"/>
        <v/>
      </c>
      <c r="AF385" s="9" t="str">
        <f ca="1">IF(AND(Y385,AA385="ERREUR"),COUNTIF($AA$2:$AA385,"ERREUR"),"")</f>
        <v/>
      </c>
    </row>
    <row r="386" spans="23:32" ht="25" customHeight="1">
      <c r="W386" s="19">
        <f t="shared" ref="W386:W449" ca="1" si="64">TODAY()+365-ROW()+2</f>
        <v>46084</v>
      </c>
      <c r="X386" s="9" t="str">
        <f t="shared" ref="X386:X449" ca="1" si="65">RIGHT("0"&amp;DAY(W386),2)&amp;RIGHT("0"&amp;MONTH(W386),2)&amp;YEAR(W386)</f>
        <v>03032026</v>
      </c>
      <c r="Y386" s="9" t="b">
        <f t="shared" ref="Y386:Y449" ca="1" si="66">IFERROR(INDIRECT(CHAR(39)&amp;X386&amp;CHAR(39)&amp;"!C3")="DATE DE CAISSE",FALSE)</f>
        <v>0</v>
      </c>
      <c r="Z386" s="9" t="str">
        <f ca="1">IF(Y386,COUNTIF($Y$2:$Y386,TRUE),"")</f>
        <v/>
      </c>
      <c r="AA386" s="9" t="str">
        <f t="shared" ref="AA386:AA449" ca="1" si="67">IF($Y386,IFERROR(IF(INDIRECT(CHAR(39)&amp;$X386&amp;CHAR(39)&amp;"!P3")="VIDE","NON SAISIE",INDIRECT(CHAR(39)&amp;$X386&amp;CHAR(39)&amp;"!P3")),""),"")</f>
        <v/>
      </c>
      <c r="AB386" s="9" t="str">
        <f t="shared" ref="AB386:AB449" ca="1" si="68">IF($Y386,IFERROR(INDIRECT(CHAR(39)&amp;$X386&amp;CHAR(39)&amp;"!M59"),""),"")</f>
        <v/>
      </c>
      <c r="AC386" s="9" t="str">
        <f t="shared" ref="AC386:AC449" ca="1" si="69">IF(Y386,IFERROR(INDIRECT(CHAR(39)&amp;X386&amp;CHAR(39)&amp;"!M3"),""),"")</f>
        <v/>
      </c>
      <c r="AD386" s="9" t="str">
        <f t="shared" ref="AD386:AD449" ca="1" si="70">IF(Y386,IFERROR(INDIRECT(CHAR(39)&amp;X386&amp;CHAR(39)&amp;"!M60"),""),"")</f>
        <v/>
      </c>
      <c r="AE386" s="9" t="str">
        <f t="shared" ref="AE386:AE449" ca="1" si="71">IF($Y386,IF($AA386="OK","RAS",IF($AA386="NON SAISIE","Non saisie",IF($AC386&lt;&gt;0,"Ecart de saisie",IF($AD386&lt;&gt;0,"Ecart de caisse",IF(IFERROR(COUNTIF(INDIRECT(CHAR(39)&amp;$X386&amp;CHAR(39)&amp;"!M11:M40"),"ERREUR"),0)&gt;0,"Lignes facture",IF(IFERROR(COUNTIF(INDIRECT(CHAR(39)&amp;$X386&amp;CHAR(39)&amp;"!N47:N50"),"&lt;&gt;OK"),0)&gt;0,"Controle banque","A verifier")))))),"")</f>
        <v/>
      </c>
      <c r="AF386" s="9" t="str">
        <f ca="1">IF(AND(Y386,AA386="ERREUR"),COUNTIF($AA$2:$AA386,"ERREUR"),"")</f>
        <v/>
      </c>
    </row>
    <row r="387" spans="23:32" ht="25" customHeight="1">
      <c r="W387" s="19">
        <f t="shared" ca="1" si="64"/>
        <v>46083</v>
      </c>
      <c r="X387" s="9" t="str">
        <f t="shared" ca="1" si="65"/>
        <v>02032026</v>
      </c>
      <c r="Y387" s="9" t="b">
        <f t="shared" ca="1" si="66"/>
        <v>0</v>
      </c>
      <c r="Z387" s="9" t="str">
        <f ca="1">IF(Y387,COUNTIF($Y$2:$Y387,TRUE),"")</f>
        <v/>
      </c>
      <c r="AA387" s="9" t="str">
        <f t="shared" ca="1" si="67"/>
        <v/>
      </c>
      <c r="AB387" s="9" t="str">
        <f t="shared" ca="1" si="68"/>
        <v/>
      </c>
      <c r="AC387" s="9" t="str">
        <f t="shared" ca="1" si="69"/>
        <v/>
      </c>
      <c r="AD387" s="9" t="str">
        <f t="shared" ca="1" si="70"/>
        <v/>
      </c>
      <c r="AE387" s="9" t="str">
        <f t="shared" ca="1" si="71"/>
        <v/>
      </c>
      <c r="AF387" s="9" t="str">
        <f ca="1">IF(AND(Y387,AA387="ERREUR"),COUNTIF($AA$2:$AA387,"ERREUR"),"")</f>
        <v/>
      </c>
    </row>
    <row r="388" spans="23:32" ht="25" customHeight="1">
      <c r="W388" s="19">
        <f t="shared" ca="1" si="64"/>
        <v>46082</v>
      </c>
      <c r="X388" s="9" t="str">
        <f t="shared" ca="1" si="65"/>
        <v>01032026</v>
      </c>
      <c r="Y388" s="9" t="b">
        <f t="shared" ca="1" si="66"/>
        <v>0</v>
      </c>
      <c r="Z388" s="9" t="str">
        <f ca="1">IF(Y388,COUNTIF($Y$2:$Y388,TRUE),"")</f>
        <v/>
      </c>
      <c r="AA388" s="9" t="str">
        <f t="shared" ca="1" si="67"/>
        <v/>
      </c>
      <c r="AB388" s="9" t="str">
        <f t="shared" ca="1" si="68"/>
        <v/>
      </c>
      <c r="AC388" s="9" t="str">
        <f t="shared" ca="1" si="69"/>
        <v/>
      </c>
      <c r="AD388" s="9" t="str">
        <f t="shared" ca="1" si="70"/>
        <v/>
      </c>
      <c r="AE388" s="9" t="str">
        <f t="shared" ca="1" si="71"/>
        <v/>
      </c>
      <c r="AF388" s="9" t="str">
        <f ca="1">IF(AND(Y388,AA388="ERREUR"),COUNTIF($AA$2:$AA388,"ERREUR"),"")</f>
        <v/>
      </c>
    </row>
    <row r="389" spans="23:32" ht="25" customHeight="1">
      <c r="W389" s="19">
        <f t="shared" ca="1" si="64"/>
        <v>46081</v>
      </c>
      <c r="X389" s="9" t="str">
        <f t="shared" ca="1" si="65"/>
        <v>28022026</v>
      </c>
      <c r="Y389" s="9" t="b">
        <f t="shared" ca="1" si="66"/>
        <v>0</v>
      </c>
      <c r="Z389" s="9" t="str">
        <f ca="1">IF(Y389,COUNTIF($Y$2:$Y389,TRUE),"")</f>
        <v/>
      </c>
      <c r="AA389" s="9" t="str">
        <f t="shared" ca="1" si="67"/>
        <v/>
      </c>
      <c r="AB389" s="9" t="str">
        <f t="shared" ca="1" si="68"/>
        <v/>
      </c>
      <c r="AC389" s="9" t="str">
        <f t="shared" ca="1" si="69"/>
        <v/>
      </c>
      <c r="AD389" s="9" t="str">
        <f t="shared" ca="1" si="70"/>
        <v/>
      </c>
      <c r="AE389" s="9" t="str">
        <f t="shared" ca="1" si="71"/>
        <v/>
      </c>
      <c r="AF389" s="9" t="str">
        <f ca="1">IF(AND(Y389,AA389="ERREUR"),COUNTIF($AA$2:$AA389,"ERREUR"),"")</f>
        <v/>
      </c>
    </row>
    <row r="390" spans="23:32" ht="25" customHeight="1">
      <c r="W390" s="19">
        <f t="shared" ca="1" si="64"/>
        <v>46080</v>
      </c>
      <c r="X390" s="9" t="str">
        <f t="shared" ca="1" si="65"/>
        <v>27022026</v>
      </c>
      <c r="Y390" s="9" t="b">
        <f t="shared" ca="1" si="66"/>
        <v>0</v>
      </c>
      <c r="Z390" s="9" t="str">
        <f ca="1">IF(Y390,COUNTIF($Y$2:$Y390,TRUE),"")</f>
        <v/>
      </c>
      <c r="AA390" s="9" t="str">
        <f t="shared" ca="1" si="67"/>
        <v/>
      </c>
      <c r="AB390" s="9" t="str">
        <f t="shared" ca="1" si="68"/>
        <v/>
      </c>
      <c r="AC390" s="9" t="str">
        <f t="shared" ca="1" si="69"/>
        <v/>
      </c>
      <c r="AD390" s="9" t="str">
        <f t="shared" ca="1" si="70"/>
        <v/>
      </c>
      <c r="AE390" s="9" t="str">
        <f t="shared" ca="1" si="71"/>
        <v/>
      </c>
      <c r="AF390" s="9" t="str">
        <f ca="1">IF(AND(Y390,AA390="ERREUR"),COUNTIF($AA$2:$AA390,"ERREUR"),"")</f>
        <v/>
      </c>
    </row>
    <row r="391" spans="23:32" ht="25" customHeight="1">
      <c r="W391" s="19">
        <f t="shared" ca="1" si="64"/>
        <v>46079</v>
      </c>
      <c r="X391" s="9" t="str">
        <f t="shared" ca="1" si="65"/>
        <v>26022026</v>
      </c>
      <c r="Y391" s="9" t="b">
        <f t="shared" ca="1" si="66"/>
        <v>0</v>
      </c>
      <c r="Z391" s="9" t="str">
        <f ca="1">IF(Y391,COUNTIF($Y$2:$Y391,TRUE),"")</f>
        <v/>
      </c>
      <c r="AA391" s="9" t="str">
        <f t="shared" ca="1" si="67"/>
        <v/>
      </c>
      <c r="AB391" s="9" t="str">
        <f t="shared" ca="1" si="68"/>
        <v/>
      </c>
      <c r="AC391" s="9" t="str">
        <f t="shared" ca="1" si="69"/>
        <v/>
      </c>
      <c r="AD391" s="9" t="str">
        <f t="shared" ca="1" si="70"/>
        <v/>
      </c>
      <c r="AE391" s="9" t="str">
        <f t="shared" ca="1" si="71"/>
        <v/>
      </c>
      <c r="AF391" s="9" t="str">
        <f ca="1">IF(AND(Y391,AA391="ERREUR"),COUNTIF($AA$2:$AA391,"ERREUR"),"")</f>
        <v/>
      </c>
    </row>
    <row r="392" spans="23:32" ht="25" customHeight="1">
      <c r="W392" s="19">
        <f t="shared" ca="1" si="64"/>
        <v>46078</v>
      </c>
      <c r="X392" s="9" t="str">
        <f t="shared" ca="1" si="65"/>
        <v>25022026</v>
      </c>
      <c r="Y392" s="9" t="b">
        <f t="shared" ca="1" si="66"/>
        <v>0</v>
      </c>
      <c r="Z392" s="9" t="str">
        <f ca="1">IF(Y392,COUNTIF($Y$2:$Y392,TRUE),"")</f>
        <v/>
      </c>
      <c r="AA392" s="9" t="str">
        <f t="shared" ca="1" si="67"/>
        <v/>
      </c>
      <c r="AB392" s="9" t="str">
        <f t="shared" ca="1" si="68"/>
        <v/>
      </c>
      <c r="AC392" s="9" t="str">
        <f t="shared" ca="1" si="69"/>
        <v/>
      </c>
      <c r="AD392" s="9" t="str">
        <f t="shared" ca="1" si="70"/>
        <v/>
      </c>
      <c r="AE392" s="9" t="str">
        <f t="shared" ca="1" si="71"/>
        <v/>
      </c>
      <c r="AF392" s="9" t="str">
        <f ca="1">IF(AND(Y392,AA392="ERREUR"),COUNTIF($AA$2:$AA392,"ERREUR"),"")</f>
        <v/>
      </c>
    </row>
    <row r="393" spans="23:32" ht="25" customHeight="1">
      <c r="W393" s="19">
        <f t="shared" ca="1" si="64"/>
        <v>46077</v>
      </c>
      <c r="X393" s="9" t="str">
        <f t="shared" ca="1" si="65"/>
        <v>24022026</v>
      </c>
      <c r="Y393" s="9" t="b">
        <f t="shared" ca="1" si="66"/>
        <v>0</v>
      </c>
      <c r="Z393" s="9" t="str">
        <f ca="1">IF(Y393,COUNTIF($Y$2:$Y393,TRUE),"")</f>
        <v/>
      </c>
      <c r="AA393" s="9" t="str">
        <f t="shared" ca="1" si="67"/>
        <v/>
      </c>
      <c r="AB393" s="9" t="str">
        <f t="shared" ca="1" si="68"/>
        <v/>
      </c>
      <c r="AC393" s="9" t="str">
        <f t="shared" ca="1" si="69"/>
        <v/>
      </c>
      <c r="AD393" s="9" t="str">
        <f t="shared" ca="1" si="70"/>
        <v/>
      </c>
      <c r="AE393" s="9" t="str">
        <f t="shared" ca="1" si="71"/>
        <v/>
      </c>
      <c r="AF393" s="9" t="str">
        <f ca="1">IF(AND(Y393,AA393="ERREUR"),COUNTIF($AA$2:$AA393,"ERREUR"),"")</f>
        <v/>
      </c>
    </row>
    <row r="394" spans="23:32" ht="25" customHeight="1">
      <c r="W394" s="19">
        <f t="shared" ca="1" si="64"/>
        <v>46076</v>
      </c>
      <c r="X394" s="9" t="str">
        <f t="shared" ca="1" si="65"/>
        <v>23022026</v>
      </c>
      <c r="Y394" s="9" t="b">
        <f t="shared" ca="1" si="66"/>
        <v>0</v>
      </c>
      <c r="Z394" s="9" t="str">
        <f ca="1">IF(Y394,COUNTIF($Y$2:$Y394,TRUE),"")</f>
        <v/>
      </c>
      <c r="AA394" s="9" t="str">
        <f t="shared" ca="1" si="67"/>
        <v/>
      </c>
      <c r="AB394" s="9" t="str">
        <f t="shared" ca="1" si="68"/>
        <v/>
      </c>
      <c r="AC394" s="9" t="str">
        <f t="shared" ca="1" si="69"/>
        <v/>
      </c>
      <c r="AD394" s="9" t="str">
        <f t="shared" ca="1" si="70"/>
        <v/>
      </c>
      <c r="AE394" s="9" t="str">
        <f t="shared" ca="1" si="71"/>
        <v/>
      </c>
      <c r="AF394" s="9" t="str">
        <f ca="1">IF(AND(Y394,AA394="ERREUR"),COUNTIF($AA$2:$AA394,"ERREUR"),"")</f>
        <v/>
      </c>
    </row>
    <row r="395" spans="23:32" ht="25" customHeight="1">
      <c r="W395" s="19">
        <f t="shared" ca="1" si="64"/>
        <v>46075</v>
      </c>
      <c r="X395" s="9" t="str">
        <f t="shared" ca="1" si="65"/>
        <v>22022026</v>
      </c>
      <c r="Y395" s="9" t="b">
        <f t="shared" ca="1" si="66"/>
        <v>0</v>
      </c>
      <c r="Z395" s="9" t="str">
        <f ca="1">IF(Y395,COUNTIF($Y$2:$Y395,TRUE),"")</f>
        <v/>
      </c>
      <c r="AA395" s="9" t="str">
        <f t="shared" ca="1" si="67"/>
        <v/>
      </c>
      <c r="AB395" s="9" t="str">
        <f t="shared" ca="1" si="68"/>
        <v/>
      </c>
      <c r="AC395" s="9" t="str">
        <f t="shared" ca="1" si="69"/>
        <v/>
      </c>
      <c r="AD395" s="9" t="str">
        <f t="shared" ca="1" si="70"/>
        <v/>
      </c>
      <c r="AE395" s="9" t="str">
        <f t="shared" ca="1" si="71"/>
        <v/>
      </c>
      <c r="AF395" s="9" t="str">
        <f ca="1">IF(AND(Y395,AA395="ERREUR"),COUNTIF($AA$2:$AA395,"ERREUR"),"")</f>
        <v/>
      </c>
    </row>
    <row r="396" spans="23:32" ht="25" customHeight="1">
      <c r="W396" s="19">
        <f t="shared" ca="1" si="64"/>
        <v>46074</v>
      </c>
      <c r="X396" s="9" t="str">
        <f t="shared" ca="1" si="65"/>
        <v>21022026</v>
      </c>
      <c r="Y396" s="9" t="b">
        <f t="shared" ca="1" si="66"/>
        <v>0</v>
      </c>
      <c r="Z396" s="9" t="str">
        <f ca="1">IF(Y396,COUNTIF($Y$2:$Y396,TRUE),"")</f>
        <v/>
      </c>
      <c r="AA396" s="9" t="str">
        <f t="shared" ca="1" si="67"/>
        <v/>
      </c>
      <c r="AB396" s="9" t="str">
        <f t="shared" ca="1" si="68"/>
        <v/>
      </c>
      <c r="AC396" s="9" t="str">
        <f t="shared" ca="1" si="69"/>
        <v/>
      </c>
      <c r="AD396" s="9" t="str">
        <f t="shared" ca="1" si="70"/>
        <v/>
      </c>
      <c r="AE396" s="9" t="str">
        <f t="shared" ca="1" si="71"/>
        <v/>
      </c>
      <c r="AF396" s="9" t="str">
        <f ca="1">IF(AND(Y396,AA396="ERREUR"),COUNTIF($AA$2:$AA396,"ERREUR"),"")</f>
        <v/>
      </c>
    </row>
    <row r="397" spans="23:32" ht="25" customHeight="1">
      <c r="W397" s="19">
        <f t="shared" ca="1" si="64"/>
        <v>46073</v>
      </c>
      <c r="X397" s="9" t="str">
        <f t="shared" ca="1" si="65"/>
        <v>20022026</v>
      </c>
      <c r="Y397" s="9" t="b">
        <f t="shared" ca="1" si="66"/>
        <v>0</v>
      </c>
      <c r="Z397" s="9" t="str">
        <f ca="1">IF(Y397,COUNTIF($Y$2:$Y397,TRUE),"")</f>
        <v/>
      </c>
      <c r="AA397" s="9" t="str">
        <f t="shared" ca="1" si="67"/>
        <v/>
      </c>
      <c r="AB397" s="9" t="str">
        <f t="shared" ca="1" si="68"/>
        <v/>
      </c>
      <c r="AC397" s="9" t="str">
        <f t="shared" ca="1" si="69"/>
        <v/>
      </c>
      <c r="AD397" s="9" t="str">
        <f t="shared" ca="1" si="70"/>
        <v/>
      </c>
      <c r="AE397" s="9" t="str">
        <f t="shared" ca="1" si="71"/>
        <v/>
      </c>
      <c r="AF397" s="9" t="str">
        <f ca="1">IF(AND(Y397,AA397="ERREUR"),COUNTIF($AA$2:$AA397,"ERREUR"),"")</f>
        <v/>
      </c>
    </row>
    <row r="398" spans="23:32" ht="25" customHeight="1">
      <c r="W398" s="19">
        <f t="shared" ca="1" si="64"/>
        <v>46072</v>
      </c>
      <c r="X398" s="9" t="str">
        <f t="shared" ca="1" si="65"/>
        <v>19022026</v>
      </c>
      <c r="Y398" s="9" t="b">
        <f t="shared" ca="1" si="66"/>
        <v>0</v>
      </c>
      <c r="Z398" s="9" t="str">
        <f ca="1">IF(Y398,COUNTIF($Y$2:$Y398,TRUE),"")</f>
        <v/>
      </c>
      <c r="AA398" s="9" t="str">
        <f t="shared" ca="1" si="67"/>
        <v/>
      </c>
      <c r="AB398" s="9" t="str">
        <f t="shared" ca="1" si="68"/>
        <v/>
      </c>
      <c r="AC398" s="9" t="str">
        <f t="shared" ca="1" si="69"/>
        <v/>
      </c>
      <c r="AD398" s="9" t="str">
        <f t="shared" ca="1" si="70"/>
        <v/>
      </c>
      <c r="AE398" s="9" t="str">
        <f t="shared" ca="1" si="71"/>
        <v/>
      </c>
      <c r="AF398" s="9" t="str">
        <f ca="1">IF(AND(Y398,AA398="ERREUR"),COUNTIF($AA$2:$AA398,"ERREUR"),"")</f>
        <v/>
      </c>
    </row>
    <row r="399" spans="23:32" ht="25" customHeight="1">
      <c r="W399" s="19">
        <f t="shared" ca="1" si="64"/>
        <v>46071</v>
      </c>
      <c r="X399" s="9" t="str">
        <f t="shared" ca="1" si="65"/>
        <v>18022026</v>
      </c>
      <c r="Y399" s="9" t="b">
        <f t="shared" ca="1" si="66"/>
        <v>0</v>
      </c>
      <c r="Z399" s="9" t="str">
        <f ca="1">IF(Y399,COUNTIF($Y$2:$Y399,TRUE),"")</f>
        <v/>
      </c>
      <c r="AA399" s="9" t="str">
        <f t="shared" ca="1" si="67"/>
        <v/>
      </c>
      <c r="AB399" s="9" t="str">
        <f t="shared" ca="1" si="68"/>
        <v/>
      </c>
      <c r="AC399" s="9" t="str">
        <f t="shared" ca="1" si="69"/>
        <v/>
      </c>
      <c r="AD399" s="9" t="str">
        <f t="shared" ca="1" si="70"/>
        <v/>
      </c>
      <c r="AE399" s="9" t="str">
        <f t="shared" ca="1" si="71"/>
        <v/>
      </c>
      <c r="AF399" s="9" t="str">
        <f ca="1">IF(AND(Y399,AA399="ERREUR"),COUNTIF($AA$2:$AA399,"ERREUR"),"")</f>
        <v/>
      </c>
    </row>
    <row r="400" spans="23:32" ht="25" customHeight="1">
      <c r="W400" s="19">
        <f t="shared" ca="1" si="64"/>
        <v>46070</v>
      </c>
      <c r="X400" s="9" t="str">
        <f t="shared" ca="1" si="65"/>
        <v>17022026</v>
      </c>
      <c r="Y400" s="9" t="b">
        <f t="shared" ca="1" si="66"/>
        <v>0</v>
      </c>
      <c r="Z400" s="9" t="str">
        <f ca="1">IF(Y400,COUNTIF($Y$2:$Y400,TRUE),"")</f>
        <v/>
      </c>
      <c r="AA400" s="9" t="str">
        <f t="shared" ca="1" si="67"/>
        <v/>
      </c>
      <c r="AB400" s="9" t="str">
        <f t="shared" ca="1" si="68"/>
        <v/>
      </c>
      <c r="AC400" s="9" t="str">
        <f t="shared" ca="1" si="69"/>
        <v/>
      </c>
      <c r="AD400" s="9" t="str">
        <f t="shared" ca="1" si="70"/>
        <v/>
      </c>
      <c r="AE400" s="9" t="str">
        <f t="shared" ca="1" si="71"/>
        <v/>
      </c>
      <c r="AF400" s="9" t="str">
        <f ca="1">IF(AND(Y400,AA400="ERREUR"),COUNTIF($AA$2:$AA400,"ERREUR"),"")</f>
        <v/>
      </c>
    </row>
    <row r="401" spans="23:32" ht="25" customHeight="1">
      <c r="W401" s="19">
        <f t="shared" ca="1" si="64"/>
        <v>46069</v>
      </c>
      <c r="X401" s="9" t="str">
        <f t="shared" ca="1" si="65"/>
        <v>16022026</v>
      </c>
      <c r="Y401" s="9" t="b">
        <f t="shared" ca="1" si="66"/>
        <v>0</v>
      </c>
      <c r="Z401" s="9" t="str">
        <f ca="1">IF(Y401,COUNTIF($Y$2:$Y401,TRUE),"")</f>
        <v/>
      </c>
      <c r="AA401" s="9" t="str">
        <f t="shared" ca="1" si="67"/>
        <v/>
      </c>
      <c r="AB401" s="9" t="str">
        <f t="shared" ca="1" si="68"/>
        <v/>
      </c>
      <c r="AC401" s="9" t="str">
        <f t="shared" ca="1" si="69"/>
        <v/>
      </c>
      <c r="AD401" s="9" t="str">
        <f t="shared" ca="1" si="70"/>
        <v/>
      </c>
      <c r="AE401" s="9" t="str">
        <f t="shared" ca="1" si="71"/>
        <v/>
      </c>
      <c r="AF401" s="9" t="str">
        <f ca="1">IF(AND(Y401,AA401="ERREUR"),COUNTIF($AA$2:$AA401,"ERREUR"),"")</f>
        <v/>
      </c>
    </row>
    <row r="402" spans="23:32" ht="25" customHeight="1">
      <c r="W402" s="19">
        <f t="shared" ca="1" si="64"/>
        <v>46068</v>
      </c>
      <c r="X402" s="9" t="str">
        <f t="shared" ca="1" si="65"/>
        <v>15022026</v>
      </c>
      <c r="Y402" s="9" t="b">
        <f t="shared" ca="1" si="66"/>
        <v>0</v>
      </c>
      <c r="Z402" s="9" t="str">
        <f ca="1">IF(Y402,COUNTIF($Y$2:$Y402,TRUE),"")</f>
        <v/>
      </c>
      <c r="AA402" s="9" t="str">
        <f t="shared" ca="1" si="67"/>
        <v/>
      </c>
      <c r="AB402" s="9" t="str">
        <f t="shared" ca="1" si="68"/>
        <v/>
      </c>
      <c r="AC402" s="9" t="str">
        <f t="shared" ca="1" si="69"/>
        <v/>
      </c>
      <c r="AD402" s="9" t="str">
        <f t="shared" ca="1" si="70"/>
        <v/>
      </c>
      <c r="AE402" s="9" t="str">
        <f t="shared" ca="1" si="71"/>
        <v/>
      </c>
      <c r="AF402" s="9" t="str">
        <f ca="1">IF(AND(Y402,AA402="ERREUR"),COUNTIF($AA$2:$AA402,"ERREUR"),"")</f>
        <v/>
      </c>
    </row>
    <row r="403" spans="23:32" ht="25" customHeight="1">
      <c r="W403" s="19">
        <f t="shared" ca="1" si="64"/>
        <v>46067</v>
      </c>
      <c r="X403" s="9" t="str">
        <f t="shared" ca="1" si="65"/>
        <v>14022026</v>
      </c>
      <c r="Y403" s="9" t="b">
        <f t="shared" ca="1" si="66"/>
        <v>0</v>
      </c>
      <c r="Z403" s="9" t="str">
        <f ca="1">IF(Y403,COUNTIF($Y$2:$Y403,TRUE),"")</f>
        <v/>
      </c>
      <c r="AA403" s="9" t="str">
        <f t="shared" ca="1" si="67"/>
        <v/>
      </c>
      <c r="AB403" s="9" t="str">
        <f t="shared" ca="1" si="68"/>
        <v/>
      </c>
      <c r="AC403" s="9" t="str">
        <f t="shared" ca="1" si="69"/>
        <v/>
      </c>
      <c r="AD403" s="9" t="str">
        <f t="shared" ca="1" si="70"/>
        <v/>
      </c>
      <c r="AE403" s="9" t="str">
        <f t="shared" ca="1" si="71"/>
        <v/>
      </c>
      <c r="AF403" s="9" t="str">
        <f ca="1">IF(AND(Y403,AA403="ERREUR"),COUNTIF($AA$2:$AA403,"ERREUR"),"")</f>
        <v/>
      </c>
    </row>
    <row r="404" spans="23:32" ht="25" customHeight="1">
      <c r="W404" s="19">
        <f t="shared" ca="1" si="64"/>
        <v>46066</v>
      </c>
      <c r="X404" s="9" t="str">
        <f t="shared" ca="1" si="65"/>
        <v>13022026</v>
      </c>
      <c r="Y404" s="9" t="b">
        <f t="shared" ca="1" si="66"/>
        <v>0</v>
      </c>
      <c r="Z404" s="9" t="str">
        <f ca="1">IF(Y404,COUNTIF($Y$2:$Y404,TRUE),"")</f>
        <v/>
      </c>
      <c r="AA404" s="9" t="str">
        <f t="shared" ca="1" si="67"/>
        <v/>
      </c>
      <c r="AB404" s="9" t="str">
        <f t="shared" ca="1" si="68"/>
        <v/>
      </c>
      <c r="AC404" s="9" t="str">
        <f t="shared" ca="1" si="69"/>
        <v/>
      </c>
      <c r="AD404" s="9" t="str">
        <f t="shared" ca="1" si="70"/>
        <v/>
      </c>
      <c r="AE404" s="9" t="str">
        <f t="shared" ca="1" si="71"/>
        <v/>
      </c>
      <c r="AF404" s="9" t="str">
        <f ca="1">IF(AND(Y404,AA404="ERREUR"),COUNTIF($AA$2:$AA404,"ERREUR"),"")</f>
        <v/>
      </c>
    </row>
    <row r="405" spans="23:32" ht="25" customHeight="1">
      <c r="W405" s="19">
        <f t="shared" ca="1" si="64"/>
        <v>46065</v>
      </c>
      <c r="X405" s="9" t="str">
        <f t="shared" ca="1" si="65"/>
        <v>12022026</v>
      </c>
      <c r="Y405" s="9" t="b">
        <f t="shared" ca="1" si="66"/>
        <v>0</v>
      </c>
      <c r="Z405" s="9" t="str">
        <f ca="1">IF(Y405,COUNTIF($Y$2:$Y405,TRUE),"")</f>
        <v/>
      </c>
      <c r="AA405" s="9" t="str">
        <f t="shared" ca="1" si="67"/>
        <v/>
      </c>
      <c r="AB405" s="9" t="str">
        <f t="shared" ca="1" si="68"/>
        <v/>
      </c>
      <c r="AC405" s="9" t="str">
        <f t="shared" ca="1" si="69"/>
        <v/>
      </c>
      <c r="AD405" s="9" t="str">
        <f t="shared" ca="1" si="70"/>
        <v/>
      </c>
      <c r="AE405" s="9" t="str">
        <f t="shared" ca="1" si="71"/>
        <v/>
      </c>
      <c r="AF405" s="9" t="str">
        <f ca="1">IF(AND(Y405,AA405="ERREUR"),COUNTIF($AA$2:$AA405,"ERREUR"),"")</f>
        <v/>
      </c>
    </row>
    <row r="406" spans="23:32" ht="25" customHeight="1">
      <c r="W406" s="19">
        <f t="shared" ca="1" si="64"/>
        <v>46064</v>
      </c>
      <c r="X406" s="9" t="str">
        <f t="shared" ca="1" si="65"/>
        <v>11022026</v>
      </c>
      <c r="Y406" s="9" t="b">
        <f t="shared" ca="1" si="66"/>
        <v>0</v>
      </c>
      <c r="Z406" s="9" t="str">
        <f ca="1">IF(Y406,COUNTIF($Y$2:$Y406,TRUE),"")</f>
        <v/>
      </c>
      <c r="AA406" s="9" t="str">
        <f t="shared" ca="1" si="67"/>
        <v/>
      </c>
      <c r="AB406" s="9" t="str">
        <f t="shared" ca="1" si="68"/>
        <v/>
      </c>
      <c r="AC406" s="9" t="str">
        <f t="shared" ca="1" si="69"/>
        <v/>
      </c>
      <c r="AD406" s="9" t="str">
        <f t="shared" ca="1" si="70"/>
        <v/>
      </c>
      <c r="AE406" s="9" t="str">
        <f t="shared" ca="1" si="71"/>
        <v/>
      </c>
      <c r="AF406" s="9" t="str">
        <f ca="1">IF(AND(Y406,AA406="ERREUR"),COUNTIF($AA$2:$AA406,"ERREUR"),"")</f>
        <v/>
      </c>
    </row>
    <row r="407" spans="23:32" ht="25" customHeight="1">
      <c r="W407" s="19">
        <f t="shared" ca="1" si="64"/>
        <v>46063</v>
      </c>
      <c r="X407" s="9" t="str">
        <f t="shared" ca="1" si="65"/>
        <v>10022026</v>
      </c>
      <c r="Y407" s="9" t="b">
        <f t="shared" ca="1" si="66"/>
        <v>0</v>
      </c>
      <c r="Z407" s="9" t="str">
        <f ca="1">IF(Y407,COUNTIF($Y$2:$Y407,TRUE),"")</f>
        <v/>
      </c>
      <c r="AA407" s="9" t="str">
        <f t="shared" ca="1" si="67"/>
        <v/>
      </c>
      <c r="AB407" s="9" t="str">
        <f t="shared" ca="1" si="68"/>
        <v/>
      </c>
      <c r="AC407" s="9" t="str">
        <f t="shared" ca="1" si="69"/>
        <v/>
      </c>
      <c r="AD407" s="9" t="str">
        <f t="shared" ca="1" si="70"/>
        <v/>
      </c>
      <c r="AE407" s="9" t="str">
        <f t="shared" ca="1" si="71"/>
        <v/>
      </c>
      <c r="AF407" s="9" t="str">
        <f ca="1">IF(AND(Y407,AA407="ERREUR"),COUNTIF($AA$2:$AA407,"ERREUR"),"")</f>
        <v/>
      </c>
    </row>
    <row r="408" spans="23:32" ht="25" customHeight="1">
      <c r="W408" s="19">
        <f t="shared" ca="1" si="64"/>
        <v>46062</v>
      </c>
      <c r="X408" s="9" t="str">
        <f t="shared" ca="1" si="65"/>
        <v>09022026</v>
      </c>
      <c r="Y408" s="9" t="b">
        <f t="shared" ca="1" si="66"/>
        <v>0</v>
      </c>
      <c r="Z408" s="9" t="str">
        <f ca="1">IF(Y408,COUNTIF($Y$2:$Y408,TRUE),"")</f>
        <v/>
      </c>
      <c r="AA408" s="9" t="str">
        <f t="shared" ca="1" si="67"/>
        <v/>
      </c>
      <c r="AB408" s="9" t="str">
        <f t="shared" ca="1" si="68"/>
        <v/>
      </c>
      <c r="AC408" s="9" t="str">
        <f t="shared" ca="1" si="69"/>
        <v/>
      </c>
      <c r="AD408" s="9" t="str">
        <f t="shared" ca="1" si="70"/>
        <v/>
      </c>
      <c r="AE408" s="9" t="str">
        <f t="shared" ca="1" si="71"/>
        <v/>
      </c>
      <c r="AF408" s="9" t="str">
        <f ca="1">IF(AND(Y408,AA408="ERREUR"),COUNTIF($AA$2:$AA408,"ERREUR"),"")</f>
        <v/>
      </c>
    </row>
    <row r="409" spans="23:32" ht="25" customHeight="1">
      <c r="W409" s="19">
        <f t="shared" ca="1" si="64"/>
        <v>46061</v>
      </c>
      <c r="X409" s="9" t="str">
        <f t="shared" ca="1" si="65"/>
        <v>08022026</v>
      </c>
      <c r="Y409" s="9" t="b">
        <f t="shared" ca="1" si="66"/>
        <v>0</v>
      </c>
      <c r="Z409" s="9" t="str">
        <f ca="1">IF(Y409,COUNTIF($Y$2:$Y409,TRUE),"")</f>
        <v/>
      </c>
      <c r="AA409" s="9" t="str">
        <f t="shared" ca="1" si="67"/>
        <v/>
      </c>
      <c r="AB409" s="9" t="str">
        <f t="shared" ca="1" si="68"/>
        <v/>
      </c>
      <c r="AC409" s="9" t="str">
        <f t="shared" ca="1" si="69"/>
        <v/>
      </c>
      <c r="AD409" s="9" t="str">
        <f t="shared" ca="1" si="70"/>
        <v/>
      </c>
      <c r="AE409" s="9" t="str">
        <f t="shared" ca="1" si="71"/>
        <v/>
      </c>
      <c r="AF409" s="9" t="str">
        <f ca="1">IF(AND(Y409,AA409="ERREUR"),COUNTIF($AA$2:$AA409,"ERREUR"),"")</f>
        <v/>
      </c>
    </row>
    <row r="410" spans="23:32" ht="25" customHeight="1">
      <c r="W410" s="19">
        <f t="shared" ca="1" si="64"/>
        <v>46060</v>
      </c>
      <c r="X410" s="9" t="str">
        <f t="shared" ca="1" si="65"/>
        <v>07022026</v>
      </c>
      <c r="Y410" s="9" t="b">
        <f t="shared" ca="1" si="66"/>
        <v>0</v>
      </c>
      <c r="Z410" s="9" t="str">
        <f ca="1">IF(Y410,COUNTIF($Y$2:$Y410,TRUE),"")</f>
        <v/>
      </c>
      <c r="AA410" s="9" t="str">
        <f t="shared" ca="1" si="67"/>
        <v/>
      </c>
      <c r="AB410" s="9" t="str">
        <f t="shared" ca="1" si="68"/>
        <v/>
      </c>
      <c r="AC410" s="9" t="str">
        <f t="shared" ca="1" si="69"/>
        <v/>
      </c>
      <c r="AD410" s="9" t="str">
        <f t="shared" ca="1" si="70"/>
        <v/>
      </c>
      <c r="AE410" s="9" t="str">
        <f t="shared" ca="1" si="71"/>
        <v/>
      </c>
      <c r="AF410" s="9" t="str">
        <f ca="1">IF(AND(Y410,AA410="ERREUR"),COUNTIF($AA$2:$AA410,"ERREUR"),"")</f>
        <v/>
      </c>
    </row>
    <row r="411" spans="23:32" ht="25" customHeight="1">
      <c r="W411" s="19">
        <f t="shared" ca="1" si="64"/>
        <v>46059</v>
      </c>
      <c r="X411" s="9" t="str">
        <f t="shared" ca="1" si="65"/>
        <v>06022026</v>
      </c>
      <c r="Y411" s="9" t="b">
        <f t="shared" ca="1" si="66"/>
        <v>0</v>
      </c>
      <c r="Z411" s="9" t="str">
        <f ca="1">IF(Y411,COUNTIF($Y$2:$Y411,TRUE),"")</f>
        <v/>
      </c>
      <c r="AA411" s="9" t="str">
        <f t="shared" ca="1" si="67"/>
        <v/>
      </c>
      <c r="AB411" s="9" t="str">
        <f t="shared" ca="1" si="68"/>
        <v/>
      </c>
      <c r="AC411" s="9" t="str">
        <f t="shared" ca="1" si="69"/>
        <v/>
      </c>
      <c r="AD411" s="9" t="str">
        <f t="shared" ca="1" si="70"/>
        <v/>
      </c>
      <c r="AE411" s="9" t="str">
        <f t="shared" ca="1" si="71"/>
        <v/>
      </c>
      <c r="AF411" s="9" t="str">
        <f ca="1">IF(AND(Y411,AA411="ERREUR"),COUNTIF($AA$2:$AA411,"ERREUR"),"")</f>
        <v/>
      </c>
    </row>
    <row r="412" spans="23:32" ht="25" customHeight="1">
      <c r="W412" s="19">
        <f t="shared" ca="1" si="64"/>
        <v>46058</v>
      </c>
      <c r="X412" s="9" t="str">
        <f t="shared" ca="1" si="65"/>
        <v>05022026</v>
      </c>
      <c r="Y412" s="9" t="b">
        <f t="shared" ca="1" si="66"/>
        <v>0</v>
      </c>
      <c r="Z412" s="9" t="str">
        <f ca="1">IF(Y412,COUNTIF($Y$2:$Y412,TRUE),"")</f>
        <v/>
      </c>
      <c r="AA412" s="9" t="str">
        <f t="shared" ca="1" si="67"/>
        <v/>
      </c>
      <c r="AB412" s="9" t="str">
        <f t="shared" ca="1" si="68"/>
        <v/>
      </c>
      <c r="AC412" s="9" t="str">
        <f t="shared" ca="1" si="69"/>
        <v/>
      </c>
      <c r="AD412" s="9" t="str">
        <f t="shared" ca="1" si="70"/>
        <v/>
      </c>
      <c r="AE412" s="9" t="str">
        <f t="shared" ca="1" si="71"/>
        <v/>
      </c>
      <c r="AF412" s="9" t="str">
        <f ca="1">IF(AND(Y412,AA412="ERREUR"),COUNTIF($AA$2:$AA412,"ERREUR"),"")</f>
        <v/>
      </c>
    </row>
    <row r="413" spans="23:32" ht="25" customHeight="1">
      <c r="W413" s="19">
        <f t="shared" ca="1" si="64"/>
        <v>46057</v>
      </c>
      <c r="X413" s="9" t="str">
        <f t="shared" ca="1" si="65"/>
        <v>04022026</v>
      </c>
      <c r="Y413" s="9" t="b">
        <f t="shared" ca="1" si="66"/>
        <v>0</v>
      </c>
      <c r="Z413" s="9" t="str">
        <f ca="1">IF(Y413,COUNTIF($Y$2:$Y413,TRUE),"")</f>
        <v/>
      </c>
      <c r="AA413" s="9" t="str">
        <f t="shared" ca="1" si="67"/>
        <v/>
      </c>
      <c r="AB413" s="9" t="str">
        <f t="shared" ca="1" si="68"/>
        <v/>
      </c>
      <c r="AC413" s="9" t="str">
        <f t="shared" ca="1" si="69"/>
        <v/>
      </c>
      <c r="AD413" s="9" t="str">
        <f t="shared" ca="1" si="70"/>
        <v/>
      </c>
      <c r="AE413" s="9" t="str">
        <f t="shared" ca="1" si="71"/>
        <v/>
      </c>
      <c r="AF413" s="9" t="str">
        <f ca="1">IF(AND(Y413,AA413="ERREUR"),COUNTIF($AA$2:$AA413,"ERREUR"),"")</f>
        <v/>
      </c>
    </row>
    <row r="414" spans="23:32" ht="25" customHeight="1">
      <c r="W414" s="19">
        <f t="shared" ca="1" si="64"/>
        <v>46056</v>
      </c>
      <c r="X414" s="9" t="str">
        <f t="shared" ca="1" si="65"/>
        <v>03022026</v>
      </c>
      <c r="Y414" s="9" t="b">
        <f t="shared" ca="1" si="66"/>
        <v>0</v>
      </c>
      <c r="Z414" s="9" t="str">
        <f ca="1">IF(Y414,COUNTIF($Y$2:$Y414,TRUE),"")</f>
        <v/>
      </c>
      <c r="AA414" s="9" t="str">
        <f t="shared" ca="1" si="67"/>
        <v/>
      </c>
      <c r="AB414" s="9" t="str">
        <f t="shared" ca="1" si="68"/>
        <v/>
      </c>
      <c r="AC414" s="9" t="str">
        <f t="shared" ca="1" si="69"/>
        <v/>
      </c>
      <c r="AD414" s="9" t="str">
        <f t="shared" ca="1" si="70"/>
        <v/>
      </c>
      <c r="AE414" s="9" t="str">
        <f t="shared" ca="1" si="71"/>
        <v/>
      </c>
      <c r="AF414" s="9" t="str">
        <f ca="1">IF(AND(Y414,AA414="ERREUR"),COUNTIF($AA$2:$AA414,"ERREUR"),"")</f>
        <v/>
      </c>
    </row>
    <row r="415" spans="23:32" ht="25" customHeight="1">
      <c r="W415" s="19">
        <f t="shared" ca="1" si="64"/>
        <v>46055</v>
      </c>
      <c r="X415" s="9" t="str">
        <f t="shared" ca="1" si="65"/>
        <v>02022026</v>
      </c>
      <c r="Y415" s="9" t="b">
        <f t="shared" ca="1" si="66"/>
        <v>0</v>
      </c>
      <c r="Z415" s="9" t="str">
        <f ca="1">IF(Y415,COUNTIF($Y$2:$Y415,TRUE),"")</f>
        <v/>
      </c>
      <c r="AA415" s="9" t="str">
        <f t="shared" ca="1" si="67"/>
        <v/>
      </c>
      <c r="AB415" s="9" t="str">
        <f t="shared" ca="1" si="68"/>
        <v/>
      </c>
      <c r="AC415" s="9" t="str">
        <f t="shared" ca="1" si="69"/>
        <v/>
      </c>
      <c r="AD415" s="9" t="str">
        <f t="shared" ca="1" si="70"/>
        <v/>
      </c>
      <c r="AE415" s="9" t="str">
        <f t="shared" ca="1" si="71"/>
        <v/>
      </c>
      <c r="AF415" s="9" t="str">
        <f ca="1">IF(AND(Y415,AA415="ERREUR"),COUNTIF($AA$2:$AA415,"ERREUR"),"")</f>
        <v/>
      </c>
    </row>
    <row r="416" spans="23:32" ht="25" customHeight="1">
      <c r="W416" s="19">
        <f t="shared" ca="1" si="64"/>
        <v>46054</v>
      </c>
      <c r="X416" s="9" t="str">
        <f t="shared" ca="1" si="65"/>
        <v>01022026</v>
      </c>
      <c r="Y416" s="9" t="b">
        <f t="shared" ca="1" si="66"/>
        <v>0</v>
      </c>
      <c r="Z416" s="9" t="str">
        <f ca="1">IF(Y416,COUNTIF($Y$2:$Y416,TRUE),"")</f>
        <v/>
      </c>
      <c r="AA416" s="9" t="str">
        <f t="shared" ca="1" si="67"/>
        <v/>
      </c>
      <c r="AB416" s="9" t="str">
        <f t="shared" ca="1" si="68"/>
        <v/>
      </c>
      <c r="AC416" s="9" t="str">
        <f t="shared" ca="1" si="69"/>
        <v/>
      </c>
      <c r="AD416" s="9" t="str">
        <f t="shared" ca="1" si="70"/>
        <v/>
      </c>
      <c r="AE416" s="9" t="str">
        <f t="shared" ca="1" si="71"/>
        <v/>
      </c>
      <c r="AF416" s="9" t="str">
        <f ca="1">IF(AND(Y416,AA416="ERREUR"),COUNTIF($AA$2:$AA416,"ERREUR"),"")</f>
        <v/>
      </c>
    </row>
    <row r="417" spans="23:32" ht="25" customHeight="1">
      <c r="W417" s="19">
        <f t="shared" ca="1" si="64"/>
        <v>46053</v>
      </c>
      <c r="X417" s="9" t="str">
        <f t="shared" ca="1" si="65"/>
        <v>31012026</v>
      </c>
      <c r="Y417" s="9" t="b">
        <f t="shared" ca="1" si="66"/>
        <v>0</v>
      </c>
      <c r="Z417" s="9" t="str">
        <f ca="1">IF(Y417,COUNTIF($Y$2:$Y417,TRUE),"")</f>
        <v/>
      </c>
      <c r="AA417" s="9" t="str">
        <f t="shared" ca="1" si="67"/>
        <v/>
      </c>
      <c r="AB417" s="9" t="str">
        <f t="shared" ca="1" si="68"/>
        <v/>
      </c>
      <c r="AC417" s="9" t="str">
        <f t="shared" ca="1" si="69"/>
        <v/>
      </c>
      <c r="AD417" s="9" t="str">
        <f t="shared" ca="1" si="70"/>
        <v/>
      </c>
      <c r="AE417" s="9" t="str">
        <f t="shared" ca="1" si="71"/>
        <v/>
      </c>
      <c r="AF417" s="9" t="str">
        <f ca="1">IF(AND(Y417,AA417="ERREUR"),COUNTIF($AA$2:$AA417,"ERREUR"),"")</f>
        <v/>
      </c>
    </row>
    <row r="418" spans="23:32" ht="25" customHeight="1">
      <c r="W418" s="19">
        <f t="shared" ca="1" si="64"/>
        <v>46052</v>
      </c>
      <c r="X418" s="9" t="str">
        <f t="shared" ca="1" si="65"/>
        <v>30012026</v>
      </c>
      <c r="Y418" s="9" t="b">
        <f t="shared" ca="1" si="66"/>
        <v>0</v>
      </c>
      <c r="Z418" s="9" t="str">
        <f ca="1">IF(Y418,COUNTIF($Y$2:$Y418,TRUE),"")</f>
        <v/>
      </c>
      <c r="AA418" s="9" t="str">
        <f t="shared" ca="1" si="67"/>
        <v/>
      </c>
      <c r="AB418" s="9" t="str">
        <f t="shared" ca="1" si="68"/>
        <v/>
      </c>
      <c r="AC418" s="9" t="str">
        <f t="shared" ca="1" si="69"/>
        <v/>
      </c>
      <c r="AD418" s="9" t="str">
        <f t="shared" ca="1" si="70"/>
        <v/>
      </c>
      <c r="AE418" s="9" t="str">
        <f t="shared" ca="1" si="71"/>
        <v/>
      </c>
      <c r="AF418" s="9" t="str">
        <f ca="1">IF(AND(Y418,AA418="ERREUR"),COUNTIF($AA$2:$AA418,"ERREUR"),"")</f>
        <v/>
      </c>
    </row>
    <row r="419" spans="23:32" ht="25" customHeight="1">
      <c r="W419" s="19">
        <f t="shared" ca="1" si="64"/>
        <v>46051</v>
      </c>
      <c r="X419" s="9" t="str">
        <f t="shared" ca="1" si="65"/>
        <v>29012026</v>
      </c>
      <c r="Y419" s="9" t="b">
        <f t="shared" ca="1" si="66"/>
        <v>0</v>
      </c>
      <c r="Z419" s="9" t="str">
        <f ca="1">IF(Y419,COUNTIF($Y$2:$Y419,TRUE),"")</f>
        <v/>
      </c>
      <c r="AA419" s="9" t="str">
        <f t="shared" ca="1" si="67"/>
        <v/>
      </c>
      <c r="AB419" s="9" t="str">
        <f t="shared" ca="1" si="68"/>
        <v/>
      </c>
      <c r="AC419" s="9" t="str">
        <f t="shared" ca="1" si="69"/>
        <v/>
      </c>
      <c r="AD419" s="9" t="str">
        <f t="shared" ca="1" si="70"/>
        <v/>
      </c>
      <c r="AE419" s="9" t="str">
        <f t="shared" ca="1" si="71"/>
        <v/>
      </c>
      <c r="AF419" s="9" t="str">
        <f ca="1">IF(AND(Y419,AA419="ERREUR"),COUNTIF($AA$2:$AA419,"ERREUR"),"")</f>
        <v/>
      </c>
    </row>
    <row r="420" spans="23:32" ht="25" customHeight="1">
      <c r="W420" s="19">
        <f t="shared" ca="1" si="64"/>
        <v>46050</v>
      </c>
      <c r="X420" s="9" t="str">
        <f t="shared" ca="1" si="65"/>
        <v>28012026</v>
      </c>
      <c r="Y420" s="9" t="b">
        <f t="shared" ca="1" si="66"/>
        <v>0</v>
      </c>
      <c r="Z420" s="9" t="str">
        <f ca="1">IF(Y420,COUNTIF($Y$2:$Y420,TRUE),"")</f>
        <v/>
      </c>
      <c r="AA420" s="9" t="str">
        <f t="shared" ca="1" si="67"/>
        <v/>
      </c>
      <c r="AB420" s="9" t="str">
        <f t="shared" ca="1" si="68"/>
        <v/>
      </c>
      <c r="AC420" s="9" t="str">
        <f t="shared" ca="1" si="69"/>
        <v/>
      </c>
      <c r="AD420" s="9" t="str">
        <f t="shared" ca="1" si="70"/>
        <v/>
      </c>
      <c r="AE420" s="9" t="str">
        <f t="shared" ca="1" si="71"/>
        <v/>
      </c>
      <c r="AF420" s="9" t="str">
        <f ca="1">IF(AND(Y420,AA420="ERREUR"),COUNTIF($AA$2:$AA420,"ERREUR"),"")</f>
        <v/>
      </c>
    </row>
    <row r="421" spans="23:32" ht="25" customHeight="1">
      <c r="W421" s="19">
        <f t="shared" ca="1" si="64"/>
        <v>46049</v>
      </c>
      <c r="X421" s="9" t="str">
        <f t="shared" ca="1" si="65"/>
        <v>27012026</v>
      </c>
      <c r="Y421" s="9" t="b">
        <f t="shared" ca="1" si="66"/>
        <v>0</v>
      </c>
      <c r="Z421" s="9" t="str">
        <f ca="1">IF(Y421,COUNTIF($Y$2:$Y421,TRUE),"")</f>
        <v/>
      </c>
      <c r="AA421" s="9" t="str">
        <f t="shared" ca="1" si="67"/>
        <v/>
      </c>
      <c r="AB421" s="9" t="str">
        <f t="shared" ca="1" si="68"/>
        <v/>
      </c>
      <c r="AC421" s="9" t="str">
        <f t="shared" ca="1" si="69"/>
        <v/>
      </c>
      <c r="AD421" s="9" t="str">
        <f t="shared" ca="1" si="70"/>
        <v/>
      </c>
      <c r="AE421" s="9" t="str">
        <f t="shared" ca="1" si="71"/>
        <v/>
      </c>
      <c r="AF421" s="9" t="str">
        <f ca="1">IF(AND(Y421,AA421="ERREUR"),COUNTIF($AA$2:$AA421,"ERREUR"),"")</f>
        <v/>
      </c>
    </row>
    <row r="422" spans="23:32" ht="25" customHeight="1">
      <c r="W422" s="19">
        <f t="shared" ca="1" si="64"/>
        <v>46048</v>
      </c>
      <c r="X422" s="9" t="str">
        <f t="shared" ca="1" si="65"/>
        <v>26012026</v>
      </c>
      <c r="Y422" s="9" t="b">
        <f t="shared" ca="1" si="66"/>
        <v>0</v>
      </c>
      <c r="Z422" s="9" t="str">
        <f ca="1">IF(Y422,COUNTIF($Y$2:$Y422,TRUE),"")</f>
        <v/>
      </c>
      <c r="AA422" s="9" t="str">
        <f t="shared" ca="1" si="67"/>
        <v/>
      </c>
      <c r="AB422" s="9" t="str">
        <f t="shared" ca="1" si="68"/>
        <v/>
      </c>
      <c r="AC422" s="9" t="str">
        <f t="shared" ca="1" si="69"/>
        <v/>
      </c>
      <c r="AD422" s="9" t="str">
        <f t="shared" ca="1" si="70"/>
        <v/>
      </c>
      <c r="AE422" s="9" t="str">
        <f t="shared" ca="1" si="71"/>
        <v/>
      </c>
      <c r="AF422" s="9" t="str">
        <f ca="1">IF(AND(Y422,AA422="ERREUR"),COUNTIF($AA$2:$AA422,"ERREUR"),"")</f>
        <v/>
      </c>
    </row>
    <row r="423" spans="23:32" ht="25" customHeight="1">
      <c r="W423" s="19">
        <f t="shared" ca="1" si="64"/>
        <v>46047</v>
      </c>
      <c r="X423" s="9" t="str">
        <f t="shared" ca="1" si="65"/>
        <v>25012026</v>
      </c>
      <c r="Y423" s="9" t="b">
        <f t="shared" ca="1" si="66"/>
        <v>0</v>
      </c>
      <c r="Z423" s="9" t="str">
        <f ca="1">IF(Y423,COUNTIF($Y$2:$Y423,TRUE),"")</f>
        <v/>
      </c>
      <c r="AA423" s="9" t="str">
        <f t="shared" ca="1" si="67"/>
        <v/>
      </c>
      <c r="AB423" s="9" t="str">
        <f t="shared" ca="1" si="68"/>
        <v/>
      </c>
      <c r="AC423" s="9" t="str">
        <f t="shared" ca="1" si="69"/>
        <v/>
      </c>
      <c r="AD423" s="9" t="str">
        <f t="shared" ca="1" si="70"/>
        <v/>
      </c>
      <c r="AE423" s="9" t="str">
        <f t="shared" ca="1" si="71"/>
        <v/>
      </c>
      <c r="AF423" s="9" t="str">
        <f ca="1">IF(AND(Y423,AA423="ERREUR"),COUNTIF($AA$2:$AA423,"ERREUR"),"")</f>
        <v/>
      </c>
    </row>
    <row r="424" spans="23:32" ht="25" customHeight="1">
      <c r="W424" s="19">
        <f t="shared" ca="1" si="64"/>
        <v>46046</v>
      </c>
      <c r="X424" s="9" t="str">
        <f t="shared" ca="1" si="65"/>
        <v>24012026</v>
      </c>
      <c r="Y424" s="9" t="b">
        <f t="shared" ca="1" si="66"/>
        <v>0</v>
      </c>
      <c r="Z424" s="9" t="str">
        <f ca="1">IF(Y424,COUNTIF($Y$2:$Y424,TRUE),"")</f>
        <v/>
      </c>
      <c r="AA424" s="9" t="str">
        <f t="shared" ca="1" si="67"/>
        <v/>
      </c>
      <c r="AB424" s="9" t="str">
        <f t="shared" ca="1" si="68"/>
        <v/>
      </c>
      <c r="AC424" s="9" t="str">
        <f t="shared" ca="1" si="69"/>
        <v/>
      </c>
      <c r="AD424" s="9" t="str">
        <f t="shared" ca="1" si="70"/>
        <v/>
      </c>
      <c r="AE424" s="9" t="str">
        <f t="shared" ca="1" si="71"/>
        <v/>
      </c>
      <c r="AF424" s="9" t="str">
        <f ca="1">IF(AND(Y424,AA424="ERREUR"),COUNTIF($AA$2:$AA424,"ERREUR"),"")</f>
        <v/>
      </c>
    </row>
    <row r="425" spans="23:32" ht="25" customHeight="1">
      <c r="W425" s="19">
        <f t="shared" ca="1" si="64"/>
        <v>46045</v>
      </c>
      <c r="X425" s="9" t="str">
        <f t="shared" ca="1" si="65"/>
        <v>23012026</v>
      </c>
      <c r="Y425" s="9" t="b">
        <f t="shared" ca="1" si="66"/>
        <v>0</v>
      </c>
      <c r="Z425" s="9" t="str">
        <f ca="1">IF(Y425,COUNTIF($Y$2:$Y425,TRUE),"")</f>
        <v/>
      </c>
      <c r="AA425" s="9" t="str">
        <f t="shared" ca="1" si="67"/>
        <v/>
      </c>
      <c r="AB425" s="9" t="str">
        <f t="shared" ca="1" si="68"/>
        <v/>
      </c>
      <c r="AC425" s="9" t="str">
        <f t="shared" ca="1" si="69"/>
        <v/>
      </c>
      <c r="AD425" s="9" t="str">
        <f t="shared" ca="1" si="70"/>
        <v/>
      </c>
      <c r="AE425" s="9" t="str">
        <f t="shared" ca="1" si="71"/>
        <v/>
      </c>
      <c r="AF425" s="9" t="str">
        <f ca="1">IF(AND(Y425,AA425="ERREUR"),COUNTIF($AA$2:$AA425,"ERREUR"),"")</f>
        <v/>
      </c>
    </row>
    <row r="426" spans="23:32" ht="25" customHeight="1">
      <c r="W426" s="19">
        <f t="shared" ca="1" si="64"/>
        <v>46044</v>
      </c>
      <c r="X426" s="9" t="str">
        <f t="shared" ca="1" si="65"/>
        <v>22012026</v>
      </c>
      <c r="Y426" s="9" t="b">
        <f t="shared" ca="1" si="66"/>
        <v>0</v>
      </c>
      <c r="Z426" s="9" t="str">
        <f ca="1">IF(Y426,COUNTIF($Y$2:$Y426,TRUE),"")</f>
        <v/>
      </c>
      <c r="AA426" s="9" t="str">
        <f t="shared" ca="1" si="67"/>
        <v/>
      </c>
      <c r="AB426" s="9" t="str">
        <f t="shared" ca="1" si="68"/>
        <v/>
      </c>
      <c r="AC426" s="9" t="str">
        <f t="shared" ca="1" si="69"/>
        <v/>
      </c>
      <c r="AD426" s="9" t="str">
        <f t="shared" ca="1" si="70"/>
        <v/>
      </c>
      <c r="AE426" s="9" t="str">
        <f t="shared" ca="1" si="71"/>
        <v/>
      </c>
      <c r="AF426" s="9" t="str">
        <f ca="1">IF(AND(Y426,AA426="ERREUR"),COUNTIF($AA$2:$AA426,"ERREUR"),"")</f>
        <v/>
      </c>
    </row>
    <row r="427" spans="23:32" ht="25" customHeight="1">
      <c r="W427" s="19">
        <f t="shared" ca="1" si="64"/>
        <v>46043</v>
      </c>
      <c r="X427" s="9" t="str">
        <f t="shared" ca="1" si="65"/>
        <v>21012026</v>
      </c>
      <c r="Y427" s="9" t="b">
        <f t="shared" ca="1" si="66"/>
        <v>0</v>
      </c>
      <c r="Z427" s="9" t="str">
        <f ca="1">IF(Y427,COUNTIF($Y$2:$Y427,TRUE),"")</f>
        <v/>
      </c>
      <c r="AA427" s="9" t="str">
        <f t="shared" ca="1" si="67"/>
        <v/>
      </c>
      <c r="AB427" s="9" t="str">
        <f t="shared" ca="1" si="68"/>
        <v/>
      </c>
      <c r="AC427" s="9" t="str">
        <f t="shared" ca="1" si="69"/>
        <v/>
      </c>
      <c r="AD427" s="9" t="str">
        <f t="shared" ca="1" si="70"/>
        <v/>
      </c>
      <c r="AE427" s="9" t="str">
        <f t="shared" ca="1" si="71"/>
        <v/>
      </c>
      <c r="AF427" s="9" t="str">
        <f ca="1">IF(AND(Y427,AA427="ERREUR"),COUNTIF($AA$2:$AA427,"ERREUR"),"")</f>
        <v/>
      </c>
    </row>
    <row r="428" spans="23:32" ht="25" customHeight="1">
      <c r="W428" s="19">
        <f t="shared" ca="1" si="64"/>
        <v>46042</v>
      </c>
      <c r="X428" s="9" t="str">
        <f t="shared" ca="1" si="65"/>
        <v>20012026</v>
      </c>
      <c r="Y428" s="9" t="b">
        <f t="shared" ca="1" si="66"/>
        <v>0</v>
      </c>
      <c r="Z428" s="9" t="str">
        <f ca="1">IF(Y428,COUNTIF($Y$2:$Y428,TRUE),"")</f>
        <v/>
      </c>
      <c r="AA428" s="9" t="str">
        <f t="shared" ca="1" si="67"/>
        <v/>
      </c>
      <c r="AB428" s="9" t="str">
        <f t="shared" ca="1" si="68"/>
        <v/>
      </c>
      <c r="AC428" s="9" t="str">
        <f t="shared" ca="1" si="69"/>
        <v/>
      </c>
      <c r="AD428" s="9" t="str">
        <f t="shared" ca="1" si="70"/>
        <v/>
      </c>
      <c r="AE428" s="9" t="str">
        <f t="shared" ca="1" si="71"/>
        <v/>
      </c>
      <c r="AF428" s="9" t="str">
        <f ca="1">IF(AND(Y428,AA428="ERREUR"),COUNTIF($AA$2:$AA428,"ERREUR"),"")</f>
        <v/>
      </c>
    </row>
    <row r="429" spans="23:32" ht="25" customHeight="1">
      <c r="W429" s="19">
        <f t="shared" ca="1" si="64"/>
        <v>46041</v>
      </c>
      <c r="X429" s="9" t="str">
        <f t="shared" ca="1" si="65"/>
        <v>19012026</v>
      </c>
      <c r="Y429" s="9" t="b">
        <f t="shared" ca="1" si="66"/>
        <v>0</v>
      </c>
      <c r="Z429" s="9" t="str">
        <f ca="1">IF(Y429,COUNTIF($Y$2:$Y429,TRUE),"")</f>
        <v/>
      </c>
      <c r="AA429" s="9" t="str">
        <f t="shared" ca="1" si="67"/>
        <v/>
      </c>
      <c r="AB429" s="9" t="str">
        <f t="shared" ca="1" si="68"/>
        <v/>
      </c>
      <c r="AC429" s="9" t="str">
        <f t="shared" ca="1" si="69"/>
        <v/>
      </c>
      <c r="AD429" s="9" t="str">
        <f t="shared" ca="1" si="70"/>
        <v/>
      </c>
      <c r="AE429" s="9" t="str">
        <f t="shared" ca="1" si="71"/>
        <v/>
      </c>
      <c r="AF429" s="9" t="str">
        <f ca="1">IF(AND(Y429,AA429="ERREUR"),COUNTIF($AA$2:$AA429,"ERREUR"),"")</f>
        <v/>
      </c>
    </row>
    <row r="430" spans="23:32" ht="25" customHeight="1">
      <c r="W430" s="19">
        <f t="shared" ca="1" si="64"/>
        <v>46040</v>
      </c>
      <c r="X430" s="9" t="str">
        <f t="shared" ca="1" si="65"/>
        <v>18012026</v>
      </c>
      <c r="Y430" s="9" t="b">
        <f t="shared" ca="1" si="66"/>
        <v>0</v>
      </c>
      <c r="Z430" s="9" t="str">
        <f ca="1">IF(Y430,COUNTIF($Y$2:$Y430,TRUE),"")</f>
        <v/>
      </c>
      <c r="AA430" s="9" t="str">
        <f t="shared" ca="1" si="67"/>
        <v/>
      </c>
      <c r="AB430" s="9" t="str">
        <f t="shared" ca="1" si="68"/>
        <v/>
      </c>
      <c r="AC430" s="9" t="str">
        <f t="shared" ca="1" si="69"/>
        <v/>
      </c>
      <c r="AD430" s="9" t="str">
        <f t="shared" ca="1" si="70"/>
        <v/>
      </c>
      <c r="AE430" s="9" t="str">
        <f t="shared" ca="1" si="71"/>
        <v/>
      </c>
      <c r="AF430" s="9" t="str">
        <f ca="1">IF(AND(Y430,AA430="ERREUR"),COUNTIF($AA$2:$AA430,"ERREUR"),"")</f>
        <v/>
      </c>
    </row>
    <row r="431" spans="23:32" ht="25" customHeight="1">
      <c r="W431" s="19">
        <f t="shared" ca="1" si="64"/>
        <v>46039</v>
      </c>
      <c r="X431" s="9" t="str">
        <f t="shared" ca="1" si="65"/>
        <v>17012026</v>
      </c>
      <c r="Y431" s="9" t="b">
        <f t="shared" ca="1" si="66"/>
        <v>0</v>
      </c>
      <c r="Z431" s="9" t="str">
        <f ca="1">IF(Y431,COUNTIF($Y$2:$Y431,TRUE),"")</f>
        <v/>
      </c>
      <c r="AA431" s="9" t="str">
        <f t="shared" ca="1" si="67"/>
        <v/>
      </c>
      <c r="AB431" s="9" t="str">
        <f t="shared" ca="1" si="68"/>
        <v/>
      </c>
      <c r="AC431" s="9" t="str">
        <f t="shared" ca="1" si="69"/>
        <v/>
      </c>
      <c r="AD431" s="9" t="str">
        <f t="shared" ca="1" si="70"/>
        <v/>
      </c>
      <c r="AE431" s="9" t="str">
        <f t="shared" ca="1" si="71"/>
        <v/>
      </c>
      <c r="AF431" s="9" t="str">
        <f ca="1">IF(AND(Y431,AA431="ERREUR"),COUNTIF($AA$2:$AA431,"ERREUR"),"")</f>
        <v/>
      </c>
    </row>
    <row r="432" spans="23:32" ht="25" customHeight="1">
      <c r="W432" s="19">
        <f t="shared" ca="1" si="64"/>
        <v>46038</v>
      </c>
      <c r="X432" s="9" t="str">
        <f t="shared" ca="1" si="65"/>
        <v>16012026</v>
      </c>
      <c r="Y432" s="9" t="b">
        <f t="shared" ca="1" si="66"/>
        <v>0</v>
      </c>
      <c r="Z432" s="9" t="str">
        <f ca="1">IF(Y432,COUNTIF($Y$2:$Y432,TRUE),"")</f>
        <v/>
      </c>
      <c r="AA432" s="9" t="str">
        <f t="shared" ca="1" si="67"/>
        <v/>
      </c>
      <c r="AB432" s="9" t="str">
        <f t="shared" ca="1" si="68"/>
        <v/>
      </c>
      <c r="AC432" s="9" t="str">
        <f t="shared" ca="1" si="69"/>
        <v/>
      </c>
      <c r="AD432" s="9" t="str">
        <f t="shared" ca="1" si="70"/>
        <v/>
      </c>
      <c r="AE432" s="9" t="str">
        <f t="shared" ca="1" si="71"/>
        <v/>
      </c>
      <c r="AF432" s="9" t="str">
        <f ca="1">IF(AND(Y432,AA432="ERREUR"),COUNTIF($AA$2:$AA432,"ERREUR"),"")</f>
        <v/>
      </c>
    </row>
    <row r="433" spans="23:32" ht="25" customHeight="1">
      <c r="W433" s="19">
        <f t="shared" ca="1" si="64"/>
        <v>46037</v>
      </c>
      <c r="X433" s="9" t="str">
        <f t="shared" ca="1" si="65"/>
        <v>15012026</v>
      </c>
      <c r="Y433" s="9" t="b">
        <f t="shared" ca="1" si="66"/>
        <v>0</v>
      </c>
      <c r="Z433" s="9" t="str">
        <f ca="1">IF(Y433,COUNTIF($Y$2:$Y433,TRUE),"")</f>
        <v/>
      </c>
      <c r="AA433" s="9" t="str">
        <f t="shared" ca="1" si="67"/>
        <v/>
      </c>
      <c r="AB433" s="9" t="str">
        <f t="shared" ca="1" si="68"/>
        <v/>
      </c>
      <c r="AC433" s="9" t="str">
        <f t="shared" ca="1" si="69"/>
        <v/>
      </c>
      <c r="AD433" s="9" t="str">
        <f t="shared" ca="1" si="70"/>
        <v/>
      </c>
      <c r="AE433" s="9" t="str">
        <f t="shared" ca="1" si="71"/>
        <v/>
      </c>
      <c r="AF433" s="9" t="str">
        <f ca="1">IF(AND(Y433,AA433="ERREUR"),COUNTIF($AA$2:$AA433,"ERREUR"),"")</f>
        <v/>
      </c>
    </row>
    <row r="434" spans="23:32" ht="25" customHeight="1">
      <c r="W434" s="19">
        <f t="shared" ca="1" si="64"/>
        <v>46036</v>
      </c>
      <c r="X434" s="9" t="str">
        <f t="shared" ca="1" si="65"/>
        <v>14012026</v>
      </c>
      <c r="Y434" s="9" t="b">
        <f t="shared" ca="1" si="66"/>
        <v>0</v>
      </c>
      <c r="Z434" s="9" t="str">
        <f ca="1">IF(Y434,COUNTIF($Y$2:$Y434,TRUE),"")</f>
        <v/>
      </c>
      <c r="AA434" s="9" t="str">
        <f t="shared" ca="1" si="67"/>
        <v/>
      </c>
      <c r="AB434" s="9" t="str">
        <f t="shared" ca="1" si="68"/>
        <v/>
      </c>
      <c r="AC434" s="9" t="str">
        <f t="shared" ca="1" si="69"/>
        <v/>
      </c>
      <c r="AD434" s="9" t="str">
        <f t="shared" ca="1" si="70"/>
        <v/>
      </c>
      <c r="AE434" s="9" t="str">
        <f t="shared" ca="1" si="71"/>
        <v/>
      </c>
      <c r="AF434" s="9" t="str">
        <f ca="1">IF(AND(Y434,AA434="ERREUR"),COUNTIF($AA$2:$AA434,"ERREUR"),"")</f>
        <v/>
      </c>
    </row>
    <row r="435" spans="23:32" ht="25" customHeight="1">
      <c r="W435" s="19">
        <f t="shared" ca="1" si="64"/>
        <v>46035</v>
      </c>
      <c r="X435" s="9" t="str">
        <f t="shared" ca="1" si="65"/>
        <v>13012026</v>
      </c>
      <c r="Y435" s="9" t="b">
        <f t="shared" ca="1" si="66"/>
        <v>0</v>
      </c>
      <c r="Z435" s="9" t="str">
        <f ca="1">IF(Y435,COUNTIF($Y$2:$Y435,TRUE),"")</f>
        <v/>
      </c>
      <c r="AA435" s="9" t="str">
        <f t="shared" ca="1" si="67"/>
        <v/>
      </c>
      <c r="AB435" s="9" t="str">
        <f t="shared" ca="1" si="68"/>
        <v/>
      </c>
      <c r="AC435" s="9" t="str">
        <f t="shared" ca="1" si="69"/>
        <v/>
      </c>
      <c r="AD435" s="9" t="str">
        <f t="shared" ca="1" si="70"/>
        <v/>
      </c>
      <c r="AE435" s="9" t="str">
        <f t="shared" ca="1" si="71"/>
        <v/>
      </c>
      <c r="AF435" s="9" t="str">
        <f ca="1">IF(AND(Y435,AA435="ERREUR"),COUNTIF($AA$2:$AA435,"ERREUR"),"")</f>
        <v/>
      </c>
    </row>
    <row r="436" spans="23:32" ht="25" customHeight="1">
      <c r="W436" s="19">
        <f t="shared" ca="1" si="64"/>
        <v>46034</v>
      </c>
      <c r="X436" s="9" t="str">
        <f t="shared" ca="1" si="65"/>
        <v>12012026</v>
      </c>
      <c r="Y436" s="9" t="b">
        <f t="shared" ca="1" si="66"/>
        <v>0</v>
      </c>
      <c r="Z436" s="9" t="str">
        <f ca="1">IF(Y436,COUNTIF($Y$2:$Y436,TRUE),"")</f>
        <v/>
      </c>
      <c r="AA436" s="9" t="str">
        <f t="shared" ca="1" si="67"/>
        <v/>
      </c>
      <c r="AB436" s="9" t="str">
        <f t="shared" ca="1" si="68"/>
        <v/>
      </c>
      <c r="AC436" s="9" t="str">
        <f t="shared" ca="1" si="69"/>
        <v/>
      </c>
      <c r="AD436" s="9" t="str">
        <f t="shared" ca="1" si="70"/>
        <v/>
      </c>
      <c r="AE436" s="9" t="str">
        <f t="shared" ca="1" si="71"/>
        <v/>
      </c>
      <c r="AF436" s="9" t="str">
        <f ca="1">IF(AND(Y436,AA436="ERREUR"),COUNTIF($AA$2:$AA436,"ERREUR"),"")</f>
        <v/>
      </c>
    </row>
    <row r="437" spans="23:32" ht="25" customHeight="1">
      <c r="W437" s="19">
        <f t="shared" ca="1" si="64"/>
        <v>46033</v>
      </c>
      <c r="X437" s="9" t="str">
        <f t="shared" ca="1" si="65"/>
        <v>11012026</v>
      </c>
      <c r="Y437" s="9" t="b">
        <f t="shared" ca="1" si="66"/>
        <v>0</v>
      </c>
      <c r="Z437" s="9" t="str">
        <f ca="1">IF(Y437,COUNTIF($Y$2:$Y437,TRUE),"")</f>
        <v/>
      </c>
      <c r="AA437" s="9" t="str">
        <f t="shared" ca="1" si="67"/>
        <v/>
      </c>
      <c r="AB437" s="9" t="str">
        <f t="shared" ca="1" si="68"/>
        <v/>
      </c>
      <c r="AC437" s="9" t="str">
        <f t="shared" ca="1" si="69"/>
        <v/>
      </c>
      <c r="AD437" s="9" t="str">
        <f t="shared" ca="1" si="70"/>
        <v/>
      </c>
      <c r="AE437" s="9" t="str">
        <f t="shared" ca="1" si="71"/>
        <v/>
      </c>
      <c r="AF437" s="9" t="str">
        <f ca="1">IF(AND(Y437,AA437="ERREUR"),COUNTIF($AA$2:$AA437,"ERREUR"),"")</f>
        <v/>
      </c>
    </row>
    <row r="438" spans="23:32" ht="25" customHeight="1">
      <c r="W438" s="19">
        <f t="shared" ca="1" si="64"/>
        <v>46032</v>
      </c>
      <c r="X438" s="9" t="str">
        <f t="shared" ca="1" si="65"/>
        <v>10012026</v>
      </c>
      <c r="Y438" s="9" t="b">
        <f t="shared" ca="1" si="66"/>
        <v>0</v>
      </c>
      <c r="Z438" s="9" t="str">
        <f ca="1">IF(Y438,COUNTIF($Y$2:$Y438,TRUE),"")</f>
        <v/>
      </c>
      <c r="AA438" s="9" t="str">
        <f t="shared" ca="1" si="67"/>
        <v/>
      </c>
      <c r="AB438" s="9" t="str">
        <f t="shared" ca="1" si="68"/>
        <v/>
      </c>
      <c r="AC438" s="9" t="str">
        <f t="shared" ca="1" si="69"/>
        <v/>
      </c>
      <c r="AD438" s="9" t="str">
        <f t="shared" ca="1" si="70"/>
        <v/>
      </c>
      <c r="AE438" s="9" t="str">
        <f t="shared" ca="1" si="71"/>
        <v/>
      </c>
      <c r="AF438" s="9" t="str">
        <f ca="1">IF(AND(Y438,AA438="ERREUR"),COUNTIF($AA$2:$AA438,"ERREUR"),"")</f>
        <v/>
      </c>
    </row>
    <row r="439" spans="23:32" ht="25" customHeight="1">
      <c r="W439" s="19">
        <f t="shared" ca="1" si="64"/>
        <v>46031</v>
      </c>
      <c r="X439" s="9" t="str">
        <f t="shared" ca="1" si="65"/>
        <v>09012026</v>
      </c>
      <c r="Y439" s="9" t="b">
        <f t="shared" ca="1" si="66"/>
        <v>0</v>
      </c>
      <c r="Z439" s="9" t="str">
        <f ca="1">IF(Y439,COUNTIF($Y$2:$Y439,TRUE),"")</f>
        <v/>
      </c>
      <c r="AA439" s="9" t="str">
        <f t="shared" ca="1" si="67"/>
        <v/>
      </c>
      <c r="AB439" s="9" t="str">
        <f t="shared" ca="1" si="68"/>
        <v/>
      </c>
      <c r="AC439" s="9" t="str">
        <f t="shared" ca="1" si="69"/>
        <v/>
      </c>
      <c r="AD439" s="9" t="str">
        <f t="shared" ca="1" si="70"/>
        <v/>
      </c>
      <c r="AE439" s="9" t="str">
        <f t="shared" ca="1" si="71"/>
        <v/>
      </c>
      <c r="AF439" s="9" t="str">
        <f ca="1">IF(AND(Y439,AA439="ERREUR"),COUNTIF($AA$2:$AA439,"ERREUR"),"")</f>
        <v/>
      </c>
    </row>
    <row r="440" spans="23:32" ht="25" customHeight="1">
      <c r="W440" s="19">
        <f t="shared" ca="1" si="64"/>
        <v>46030</v>
      </c>
      <c r="X440" s="9" t="str">
        <f t="shared" ca="1" si="65"/>
        <v>08012026</v>
      </c>
      <c r="Y440" s="9" t="b">
        <f t="shared" ca="1" si="66"/>
        <v>0</v>
      </c>
      <c r="Z440" s="9" t="str">
        <f ca="1">IF(Y440,COUNTIF($Y$2:$Y440,TRUE),"")</f>
        <v/>
      </c>
      <c r="AA440" s="9" t="str">
        <f t="shared" ca="1" si="67"/>
        <v/>
      </c>
      <c r="AB440" s="9" t="str">
        <f t="shared" ca="1" si="68"/>
        <v/>
      </c>
      <c r="AC440" s="9" t="str">
        <f t="shared" ca="1" si="69"/>
        <v/>
      </c>
      <c r="AD440" s="9" t="str">
        <f t="shared" ca="1" si="70"/>
        <v/>
      </c>
      <c r="AE440" s="9" t="str">
        <f t="shared" ca="1" si="71"/>
        <v/>
      </c>
      <c r="AF440" s="9" t="str">
        <f ca="1">IF(AND(Y440,AA440="ERREUR"),COUNTIF($AA$2:$AA440,"ERREUR"),"")</f>
        <v/>
      </c>
    </row>
    <row r="441" spans="23:32" ht="25" customHeight="1">
      <c r="W441" s="19">
        <f t="shared" ca="1" si="64"/>
        <v>46029</v>
      </c>
      <c r="X441" s="9" t="str">
        <f t="shared" ca="1" si="65"/>
        <v>07012026</v>
      </c>
      <c r="Y441" s="9" t="b">
        <f t="shared" ca="1" si="66"/>
        <v>0</v>
      </c>
      <c r="Z441" s="9" t="str">
        <f ca="1">IF(Y441,COUNTIF($Y$2:$Y441,TRUE),"")</f>
        <v/>
      </c>
      <c r="AA441" s="9" t="str">
        <f t="shared" ca="1" si="67"/>
        <v/>
      </c>
      <c r="AB441" s="9" t="str">
        <f t="shared" ca="1" si="68"/>
        <v/>
      </c>
      <c r="AC441" s="9" t="str">
        <f t="shared" ca="1" si="69"/>
        <v/>
      </c>
      <c r="AD441" s="9" t="str">
        <f t="shared" ca="1" si="70"/>
        <v/>
      </c>
      <c r="AE441" s="9" t="str">
        <f t="shared" ca="1" si="71"/>
        <v/>
      </c>
      <c r="AF441" s="9" t="str">
        <f ca="1">IF(AND(Y441,AA441="ERREUR"),COUNTIF($AA$2:$AA441,"ERREUR"),"")</f>
        <v/>
      </c>
    </row>
    <row r="442" spans="23:32" ht="25" customHeight="1">
      <c r="W442" s="19">
        <f t="shared" ca="1" si="64"/>
        <v>46028</v>
      </c>
      <c r="X442" s="9" t="str">
        <f t="shared" ca="1" si="65"/>
        <v>06012026</v>
      </c>
      <c r="Y442" s="9" t="b">
        <f t="shared" ca="1" si="66"/>
        <v>0</v>
      </c>
      <c r="Z442" s="9" t="str">
        <f ca="1">IF(Y442,COUNTIF($Y$2:$Y442,TRUE),"")</f>
        <v/>
      </c>
      <c r="AA442" s="9" t="str">
        <f t="shared" ca="1" si="67"/>
        <v/>
      </c>
      <c r="AB442" s="9" t="str">
        <f t="shared" ca="1" si="68"/>
        <v/>
      </c>
      <c r="AC442" s="9" t="str">
        <f t="shared" ca="1" si="69"/>
        <v/>
      </c>
      <c r="AD442" s="9" t="str">
        <f t="shared" ca="1" si="70"/>
        <v/>
      </c>
      <c r="AE442" s="9" t="str">
        <f t="shared" ca="1" si="71"/>
        <v/>
      </c>
      <c r="AF442" s="9" t="str">
        <f ca="1">IF(AND(Y442,AA442="ERREUR"),COUNTIF($AA$2:$AA442,"ERREUR"),"")</f>
        <v/>
      </c>
    </row>
    <row r="443" spans="23:32" ht="25" customHeight="1">
      <c r="W443" s="19">
        <f t="shared" ca="1" si="64"/>
        <v>46027</v>
      </c>
      <c r="X443" s="9" t="str">
        <f t="shared" ca="1" si="65"/>
        <v>05012026</v>
      </c>
      <c r="Y443" s="9" t="b">
        <f t="shared" ca="1" si="66"/>
        <v>0</v>
      </c>
      <c r="Z443" s="9" t="str">
        <f ca="1">IF(Y443,COUNTIF($Y$2:$Y443,TRUE),"")</f>
        <v/>
      </c>
      <c r="AA443" s="9" t="str">
        <f t="shared" ca="1" si="67"/>
        <v/>
      </c>
      <c r="AB443" s="9" t="str">
        <f t="shared" ca="1" si="68"/>
        <v/>
      </c>
      <c r="AC443" s="9" t="str">
        <f t="shared" ca="1" si="69"/>
        <v/>
      </c>
      <c r="AD443" s="9" t="str">
        <f t="shared" ca="1" si="70"/>
        <v/>
      </c>
      <c r="AE443" s="9" t="str">
        <f t="shared" ca="1" si="71"/>
        <v/>
      </c>
      <c r="AF443" s="9" t="str">
        <f ca="1">IF(AND(Y443,AA443="ERREUR"),COUNTIF($AA$2:$AA443,"ERREUR"),"")</f>
        <v/>
      </c>
    </row>
    <row r="444" spans="23:32" ht="25" customHeight="1">
      <c r="W444" s="19">
        <f t="shared" ca="1" si="64"/>
        <v>46026</v>
      </c>
      <c r="X444" s="9" t="str">
        <f t="shared" ca="1" si="65"/>
        <v>04012026</v>
      </c>
      <c r="Y444" s="9" t="b">
        <f t="shared" ca="1" si="66"/>
        <v>0</v>
      </c>
      <c r="Z444" s="9" t="str">
        <f ca="1">IF(Y444,COUNTIF($Y$2:$Y444,TRUE),"")</f>
        <v/>
      </c>
      <c r="AA444" s="9" t="str">
        <f t="shared" ca="1" si="67"/>
        <v/>
      </c>
      <c r="AB444" s="9" t="str">
        <f t="shared" ca="1" si="68"/>
        <v/>
      </c>
      <c r="AC444" s="9" t="str">
        <f t="shared" ca="1" si="69"/>
        <v/>
      </c>
      <c r="AD444" s="9" t="str">
        <f t="shared" ca="1" si="70"/>
        <v/>
      </c>
      <c r="AE444" s="9" t="str">
        <f t="shared" ca="1" si="71"/>
        <v/>
      </c>
      <c r="AF444" s="9" t="str">
        <f ca="1">IF(AND(Y444,AA444="ERREUR"),COUNTIF($AA$2:$AA444,"ERREUR"),"")</f>
        <v/>
      </c>
    </row>
    <row r="445" spans="23:32" ht="25" customHeight="1">
      <c r="W445" s="19">
        <f t="shared" ca="1" si="64"/>
        <v>46025</v>
      </c>
      <c r="X445" s="9" t="str">
        <f t="shared" ca="1" si="65"/>
        <v>03012026</v>
      </c>
      <c r="Y445" s="9" t="b">
        <f t="shared" ca="1" si="66"/>
        <v>0</v>
      </c>
      <c r="Z445" s="9" t="str">
        <f ca="1">IF(Y445,COUNTIF($Y$2:$Y445,TRUE),"")</f>
        <v/>
      </c>
      <c r="AA445" s="9" t="str">
        <f t="shared" ca="1" si="67"/>
        <v/>
      </c>
      <c r="AB445" s="9" t="str">
        <f t="shared" ca="1" si="68"/>
        <v/>
      </c>
      <c r="AC445" s="9" t="str">
        <f t="shared" ca="1" si="69"/>
        <v/>
      </c>
      <c r="AD445" s="9" t="str">
        <f t="shared" ca="1" si="70"/>
        <v/>
      </c>
      <c r="AE445" s="9" t="str">
        <f t="shared" ca="1" si="71"/>
        <v/>
      </c>
      <c r="AF445" s="9" t="str">
        <f ca="1">IF(AND(Y445,AA445="ERREUR"),COUNTIF($AA$2:$AA445,"ERREUR"),"")</f>
        <v/>
      </c>
    </row>
    <row r="446" spans="23:32" ht="25" customHeight="1">
      <c r="W446" s="19">
        <f t="shared" ca="1" si="64"/>
        <v>46024</v>
      </c>
      <c r="X446" s="9" t="str">
        <f t="shared" ca="1" si="65"/>
        <v>02012026</v>
      </c>
      <c r="Y446" s="9" t="b">
        <f t="shared" ca="1" si="66"/>
        <v>0</v>
      </c>
      <c r="Z446" s="9" t="str">
        <f ca="1">IF(Y446,COUNTIF($Y$2:$Y446,TRUE),"")</f>
        <v/>
      </c>
      <c r="AA446" s="9" t="str">
        <f t="shared" ca="1" si="67"/>
        <v/>
      </c>
      <c r="AB446" s="9" t="str">
        <f t="shared" ca="1" si="68"/>
        <v/>
      </c>
      <c r="AC446" s="9" t="str">
        <f t="shared" ca="1" si="69"/>
        <v/>
      </c>
      <c r="AD446" s="9" t="str">
        <f t="shared" ca="1" si="70"/>
        <v/>
      </c>
      <c r="AE446" s="9" t="str">
        <f t="shared" ca="1" si="71"/>
        <v/>
      </c>
      <c r="AF446" s="9" t="str">
        <f ca="1">IF(AND(Y446,AA446="ERREUR"),COUNTIF($AA$2:$AA446,"ERREUR"),"")</f>
        <v/>
      </c>
    </row>
    <row r="447" spans="23:32" ht="25" customHeight="1">
      <c r="W447" s="19">
        <f t="shared" ca="1" si="64"/>
        <v>46023</v>
      </c>
      <c r="X447" s="9" t="str">
        <f t="shared" ca="1" si="65"/>
        <v>01012026</v>
      </c>
      <c r="Y447" s="9" t="b">
        <f t="shared" ca="1" si="66"/>
        <v>0</v>
      </c>
      <c r="Z447" s="9" t="str">
        <f ca="1">IF(Y447,COUNTIF($Y$2:$Y447,TRUE),"")</f>
        <v/>
      </c>
      <c r="AA447" s="9" t="str">
        <f t="shared" ca="1" si="67"/>
        <v/>
      </c>
      <c r="AB447" s="9" t="str">
        <f t="shared" ca="1" si="68"/>
        <v/>
      </c>
      <c r="AC447" s="9" t="str">
        <f t="shared" ca="1" si="69"/>
        <v/>
      </c>
      <c r="AD447" s="9" t="str">
        <f t="shared" ca="1" si="70"/>
        <v/>
      </c>
      <c r="AE447" s="9" t="str">
        <f t="shared" ca="1" si="71"/>
        <v/>
      </c>
      <c r="AF447" s="9" t="str">
        <f ca="1">IF(AND(Y447,AA447="ERREUR"),COUNTIF($AA$2:$AA447,"ERREUR"),"")</f>
        <v/>
      </c>
    </row>
    <row r="448" spans="23:32" ht="25" customHeight="1">
      <c r="W448" s="19">
        <f t="shared" ca="1" si="64"/>
        <v>46022</v>
      </c>
      <c r="X448" s="9" t="str">
        <f t="shared" ca="1" si="65"/>
        <v>31122025</v>
      </c>
      <c r="Y448" s="9" t="b">
        <f t="shared" ca="1" si="66"/>
        <v>0</v>
      </c>
      <c r="Z448" s="9" t="str">
        <f ca="1">IF(Y448,COUNTIF($Y$2:$Y448,TRUE),"")</f>
        <v/>
      </c>
      <c r="AA448" s="9" t="str">
        <f t="shared" ca="1" si="67"/>
        <v/>
      </c>
      <c r="AB448" s="9" t="str">
        <f t="shared" ca="1" si="68"/>
        <v/>
      </c>
      <c r="AC448" s="9" t="str">
        <f t="shared" ca="1" si="69"/>
        <v/>
      </c>
      <c r="AD448" s="9" t="str">
        <f t="shared" ca="1" si="70"/>
        <v/>
      </c>
      <c r="AE448" s="9" t="str">
        <f t="shared" ca="1" si="71"/>
        <v/>
      </c>
      <c r="AF448" s="9" t="str">
        <f ca="1">IF(AND(Y448,AA448="ERREUR"),COUNTIF($AA$2:$AA448,"ERREUR"),"")</f>
        <v/>
      </c>
    </row>
    <row r="449" spans="23:32" ht="25" customHeight="1">
      <c r="W449" s="19">
        <f t="shared" ca="1" si="64"/>
        <v>46021</v>
      </c>
      <c r="X449" s="9" t="str">
        <f t="shared" ca="1" si="65"/>
        <v>30122025</v>
      </c>
      <c r="Y449" s="9" t="b">
        <f t="shared" ca="1" si="66"/>
        <v>0</v>
      </c>
      <c r="Z449" s="9" t="str">
        <f ca="1">IF(Y449,COUNTIF($Y$2:$Y449,TRUE),"")</f>
        <v/>
      </c>
      <c r="AA449" s="9" t="str">
        <f t="shared" ca="1" si="67"/>
        <v/>
      </c>
      <c r="AB449" s="9" t="str">
        <f t="shared" ca="1" si="68"/>
        <v/>
      </c>
      <c r="AC449" s="9" t="str">
        <f t="shared" ca="1" si="69"/>
        <v/>
      </c>
      <c r="AD449" s="9" t="str">
        <f t="shared" ca="1" si="70"/>
        <v/>
      </c>
      <c r="AE449" s="9" t="str">
        <f t="shared" ca="1" si="71"/>
        <v/>
      </c>
      <c r="AF449" s="9" t="str">
        <f ca="1">IF(AND(Y449,AA449="ERREUR"),COUNTIF($AA$2:$AA449,"ERREUR"),"")</f>
        <v/>
      </c>
    </row>
    <row r="450" spans="23:32" ht="25" customHeight="1">
      <c r="W450" s="19">
        <f t="shared" ref="W450:W513" ca="1" si="72">TODAY()+365-ROW()+2</f>
        <v>46020</v>
      </c>
      <c r="X450" s="9" t="str">
        <f t="shared" ref="X450:X513" ca="1" si="73">RIGHT("0"&amp;DAY(W450),2)&amp;RIGHT("0"&amp;MONTH(W450),2)&amp;YEAR(W450)</f>
        <v>29122025</v>
      </c>
      <c r="Y450" s="9" t="b">
        <f t="shared" ref="Y450:Y513" ca="1" si="74">IFERROR(INDIRECT(CHAR(39)&amp;X450&amp;CHAR(39)&amp;"!C3")="DATE DE CAISSE",FALSE)</f>
        <v>0</v>
      </c>
      <c r="Z450" s="9" t="str">
        <f ca="1">IF(Y450,COUNTIF($Y$2:$Y450,TRUE),"")</f>
        <v/>
      </c>
      <c r="AA450" s="9" t="str">
        <f t="shared" ref="AA450:AA513" ca="1" si="75">IF($Y450,IFERROR(IF(INDIRECT(CHAR(39)&amp;$X450&amp;CHAR(39)&amp;"!P3")="VIDE","NON SAISIE",INDIRECT(CHAR(39)&amp;$X450&amp;CHAR(39)&amp;"!P3")),""),"")</f>
        <v/>
      </c>
      <c r="AB450" s="9" t="str">
        <f t="shared" ref="AB450:AB513" ca="1" si="76">IF($Y450,IFERROR(INDIRECT(CHAR(39)&amp;$X450&amp;CHAR(39)&amp;"!M59"),""),"")</f>
        <v/>
      </c>
      <c r="AC450" s="9" t="str">
        <f t="shared" ref="AC450:AC513" ca="1" si="77">IF(Y450,IFERROR(INDIRECT(CHAR(39)&amp;X450&amp;CHAR(39)&amp;"!M3"),""),"")</f>
        <v/>
      </c>
      <c r="AD450" s="9" t="str">
        <f t="shared" ref="AD450:AD513" ca="1" si="78">IF(Y450,IFERROR(INDIRECT(CHAR(39)&amp;X450&amp;CHAR(39)&amp;"!M60"),""),"")</f>
        <v/>
      </c>
      <c r="AE450" s="9" t="str">
        <f t="shared" ref="AE450:AE513" ca="1" si="79">IF($Y450,IF($AA450="OK","RAS",IF($AA450="NON SAISIE","Non saisie",IF($AC450&lt;&gt;0,"Ecart de saisie",IF($AD450&lt;&gt;0,"Ecart de caisse",IF(IFERROR(COUNTIF(INDIRECT(CHAR(39)&amp;$X450&amp;CHAR(39)&amp;"!M11:M40"),"ERREUR"),0)&gt;0,"Lignes facture",IF(IFERROR(COUNTIF(INDIRECT(CHAR(39)&amp;$X450&amp;CHAR(39)&amp;"!N47:N50"),"&lt;&gt;OK"),0)&gt;0,"Controle banque","A verifier")))))),"")</f>
        <v/>
      </c>
      <c r="AF450" s="9" t="str">
        <f ca="1">IF(AND(Y450,AA450="ERREUR"),COUNTIF($AA$2:$AA450,"ERREUR"),"")</f>
        <v/>
      </c>
    </row>
    <row r="451" spans="23:32" ht="25" customHeight="1">
      <c r="W451" s="19">
        <f t="shared" ca="1" si="72"/>
        <v>46019</v>
      </c>
      <c r="X451" s="9" t="str">
        <f t="shared" ca="1" si="73"/>
        <v>28122025</v>
      </c>
      <c r="Y451" s="9" t="b">
        <f t="shared" ca="1" si="74"/>
        <v>0</v>
      </c>
      <c r="Z451" s="9" t="str">
        <f ca="1">IF(Y451,COUNTIF($Y$2:$Y451,TRUE),"")</f>
        <v/>
      </c>
      <c r="AA451" s="9" t="str">
        <f t="shared" ca="1" si="75"/>
        <v/>
      </c>
      <c r="AB451" s="9" t="str">
        <f t="shared" ca="1" si="76"/>
        <v/>
      </c>
      <c r="AC451" s="9" t="str">
        <f t="shared" ca="1" si="77"/>
        <v/>
      </c>
      <c r="AD451" s="9" t="str">
        <f t="shared" ca="1" si="78"/>
        <v/>
      </c>
      <c r="AE451" s="9" t="str">
        <f t="shared" ca="1" si="79"/>
        <v/>
      </c>
      <c r="AF451" s="9" t="str">
        <f ca="1">IF(AND(Y451,AA451="ERREUR"),COUNTIF($AA$2:$AA451,"ERREUR"),"")</f>
        <v/>
      </c>
    </row>
    <row r="452" spans="23:32" ht="25" customHeight="1">
      <c r="W452" s="19">
        <f t="shared" ca="1" si="72"/>
        <v>46018</v>
      </c>
      <c r="X452" s="9" t="str">
        <f t="shared" ca="1" si="73"/>
        <v>27122025</v>
      </c>
      <c r="Y452" s="9" t="b">
        <f t="shared" ca="1" si="74"/>
        <v>0</v>
      </c>
      <c r="Z452" s="9" t="str">
        <f ca="1">IF(Y452,COUNTIF($Y$2:$Y452,TRUE),"")</f>
        <v/>
      </c>
      <c r="AA452" s="9" t="str">
        <f t="shared" ca="1" si="75"/>
        <v/>
      </c>
      <c r="AB452" s="9" t="str">
        <f t="shared" ca="1" si="76"/>
        <v/>
      </c>
      <c r="AC452" s="9" t="str">
        <f t="shared" ca="1" si="77"/>
        <v/>
      </c>
      <c r="AD452" s="9" t="str">
        <f t="shared" ca="1" si="78"/>
        <v/>
      </c>
      <c r="AE452" s="9" t="str">
        <f t="shared" ca="1" si="79"/>
        <v/>
      </c>
      <c r="AF452" s="9" t="str">
        <f ca="1">IF(AND(Y452,AA452="ERREUR"),COUNTIF($AA$2:$AA452,"ERREUR"),"")</f>
        <v/>
      </c>
    </row>
    <row r="453" spans="23:32" ht="25" customHeight="1">
      <c r="W453" s="19">
        <f t="shared" ca="1" si="72"/>
        <v>46017</v>
      </c>
      <c r="X453" s="9" t="str">
        <f t="shared" ca="1" si="73"/>
        <v>26122025</v>
      </c>
      <c r="Y453" s="9" t="b">
        <f t="shared" ca="1" si="74"/>
        <v>0</v>
      </c>
      <c r="Z453" s="9" t="str">
        <f ca="1">IF(Y453,COUNTIF($Y$2:$Y453,TRUE),"")</f>
        <v/>
      </c>
      <c r="AA453" s="9" t="str">
        <f t="shared" ca="1" si="75"/>
        <v/>
      </c>
      <c r="AB453" s="9" t="str">
        <f t="shared" ca="1" si="76"/>
        <v/>
      </c>
      <c r="AC453" s="9" t="str">
        <f t="shared" ca="1" si="77"/>
        <v/>
      </c>
      <c r="AD453" s="9" t="str">
        <f t="shared" ca="1" si="78"/>
        <v/>
      </c>
      <c r="AE453" s="9" t="str">
        <f t="shared" ca="1" si="79"/>
        <v/>
      </c>
      <c r="AF453" s="9" t="str">
        <f ca="1">IF(AND(Y453,AA453="ERREUR"),COUNTIF($AA$2:$AA453,"ERREUR"),"")</f>
        <v/>
      </c>
    </row>
    <row r="454" spans="23:32" ht="25" customHeight="1">
      <c r="W454" s="19">
        <f t="shared" ca="1" si="72"/>
        <v>46016</v>
      </c>
      <c r="X454" s="9" t="str">
        <f t="shared" ca="1" si="73"/>
        <v>25122025</v>
      </c>
      <c r="Y454" s="9" t="b">
        <f t="shared" ca="1" si="74"/>
        <v>0</v>
      </c>
      <c r="Z454" s="9" t="str">
        <f ca="1">IF(Y454,COUNTIF($Y$2:$Y454,TRUE),"")</f>
        <v/>
      </c>
      <c r="AA454" s="9" t="str">
        <f t="shared" ca="1" si="75"/>
        <v/>
      </c>
      <c r="AB454" s="9" t="str">
        <f t="shared" ca="1" si="76"/>
        <v/>
      </c>
      <c r="AC454" s="9" t="str">
        <f t="shared" ca="1" si="77"/>
        <v/>
      </c>
      <c r="AD454" s="9" t="str">
        <f t="shared" ca="1" si="78"/>
        <v/>
      </c>
      <c r="AE454" s="9" t="str">
        <f t="shared" ca="1" si="79"/>
        <v/>
      </c>
      <c r="AF454" s="9" t="str">
        <f ca="1">IF(AND(Y454,AA454="ERREUR"),COUNTIF($AA$2:$AA454,"ERREUR"),"")</f>
        <v/>
      </c>
    </row>
    <row r="455" spans="23:32" ht="25" customHeight="1">
      <c r="W455" s="19">
        <f t="shared" ca="1" si="72"/>
        <v>46015</v>
      </c>
      <c r="X455" s="9" t="str">
        <f t="shared" ca="1" si="73"/>
        <v>24122025</v>
      </c>
      <c r="Y455" s="9" t="b">
        <f t="shared" ca="1" si="74"/>
        <v>0</v>
      </c>
      <c r="Z455" s="9" t="str">
        <f ca="1">IF(Y455,COUNTIF($Y$2:$Y455,TRUE),"")</f>
        <v/>
      </c>
      <c r="AA455" s="9" t="str">
        <f t="shared" ca="1" si="75"/>
        <v/>
      </c>
      <c r="AB455" s="9" t="str">
        <f t="shared" ca="1" si="76"/>
        <v/>
      </c>
      <c r="AC455" s="9" t="str">
        <f t="shared" ca="1" si="77"/>
        <v/>
      </c>
      <c r="AD455" s="9" t="str">
        <f t="shared" ca="1" si="78"/>
        <v/>
      </c>
      <c r="AE455" s="9" t="str">
        <f t="shared" ca="1" si="79"/>
        <v/>
      </c>
      <c r="AF455" s="9" t="str">
        <f ca="1">IF(AND(Y455,AA455="ERREUR"),COUNTIF($AA$2:$AA455,"ERREUR"),"")</f>
        <v/>
      </c>
    </row>
    <row r="456" spans="23:32" ht="25" customHeight="1">
      <c r="W456" s="19">
        <f t="shared" ca="1" si="72"/>
        <v>46014</v>
      </c>
      <c r="X456" s="9" t="str">
        <f t="shared" ca="1" si="73"/>
        <v>23122025</v>
      </c>
      <c r="Y456" s="9" t="b">
        <f t="shared" ca="1" si="74"/>
        <v>0</v>
      </c>
      <c r="Z456" s="9" t="str">
        <f ca="1">IF(Y456,COUNTIF($Y$2:$Y456,TRUE),"")</f>
        <v/>
      </c>
      <c r="AA456" s="9" t="str">
        <f t="shared" ca="1" si="75"/>
        <v/>
      </c>
      <c r="AB456" s="9" t="str">
        <f t="shared" ca="1" si="76"/>
        <v/>
      </c>
      <c r="AC456" s="9" t="str">
        <f t="shared" ca="1" si="77"/>
        <v/>
      </c>
      <c r="AD456" s="9" t="str">
        <f t="shared" ca="1" si="78"/>
        <v/>
      </c>
      <c r="AE456" s="9" t="str">
        <f t="shared" ca="1" si="79"/>
        <v/>
      </c>
      <c r="AF456" s="9" t="str">
        <f ca="1">IF(AND(Y456,AA456="ERREUR"),COUNTIF($AA$2:$AA456,"ERREUR"),"")</f>
        <v/>
      </c>
    </row>
    <row r="457" spans="23:32" ht="25" customHeight="1">
      <c r="W457" s="19">
        <f t="shared" ca="1" si="72"/>
        <v>46013</v>
      </c>
      <c r="X457" s="9" t="str">
        <f t="shared" ca="1" si="73"/>
        <v>22122025</v>
      </c>
      <c r="Y457" s="9" t="b">
        <f t="shared" ca="1" si="74"/>
        <v>0</v>
      </c>
      <c r="Z457" s="9" t="str">
        <f ca="1">IF(Y457,COUNTIF($Y$2:$Y457,TRUE),"")</f>
        <v/>
      </c>
      <c r="AA457" s="9" t="str">
        <f t="shared" ca="1" si="75"/>
        <v/>
      </c>
      <c r="AB457" s="9" t="str">
        <f t="shared" ca="1" si="76"/>
        <v/>
      </c>
      <c r="AC457" s="9" t="str">
        <f t="shared" ca="1" si="77"/>
        <v/>
      </c>
      <c r="AD457" s="9" t="str">
        <f t="shared" ca="1" si="78"/>
        <v/>
      </c>
      <c r="AE457" s="9" t="str">
        <f t="shared" ca="1" si="79"/>
        <v/>
      </c>
      <c r="AF457" s="9" t="str">
        <f ca="1">IF(AND(Y457,AA457="ERREUR"),COUNTIF($AA$2:$AA457,"ERREUR"),"")</f>
        <v/>
      </c>
    </row>
    <row r="458" spans="23:32" ht="25" customHeight="1">
      <c r="W458" s="19">
        <f t="shared" ca="1" si="72"/>
        <v>46012</v>
      </c>
      <c r="X458" s="9" t="str">
        <f t="shared" ca="1" si="73"/>
        <v>21122025</v>
      </c>
      <c r="Y458" s="9" t="b">
        <f t="shared" ca="1" si="74"/>
        <v>0</v>
      </c>
      <c r="Z458" s="9" t="str">
        <f ca="1">IF(Y458,COUNTIF($Y$2:$Y458,TRUE),"")</f>
        <v/>
      </c>
      <c r="AA458" s="9" t="str">
        <f t="shared" ca="1" si="75"/>
        <v/>
      </c>
      <c r="AB458" s="9" t="str">
        <f t="shared" ca="1" si="76"/>
        <v/>
      </c>
      <c r="AC458" s="9" t="str">
        <f t="shared" ca="1" si="77"/>
        <v/>
      </c>
      <c r="AD458" s="9" t="str">
        <f t="shared" ca="1" si="78"/>
        <v/>
      </c>
      <c r="AE458" s="9" t="str">
        <f t="shared" ca="1" si="79"/>
        <v/>
      </c>
      <c r="AF458" s="9" t="str">
        <f ca="1">IF(AND(Y458,AA458="ERREUR"),COUNTIF($AA$2:$AA458,"ERREUR"),"")</f>
        <v/>
      </c>
    </row>
    <row r="459" spans="23:32" ht="25" customHeight="1">
      <c r="W459" s="19">
        <f t="shared" ca="1" si="72"/>
        <v>46011</v>
      </c>
      <c r="X459" s="9" t="str">
        <f t="shared" ca="1" si="73"/>
        <v>20122025</v>
      </c>
      <c r="Y459" s="9" t="b">
        <f t="shared" ca="1" si="74"/>
        <v>0</v>
      </c>
      <c r="Z459" s="9" t="str">
        <f ca="1">IF(Y459,COUNTIF($Y$2:$Y459,TRUE),"")</f>
        <v/>
      </c>
      <c r="AA459" s="9" t="str">
        <f t="shared" ca="1" si="75"/>
        <v/>
      </c>
      <c r="AB459" s="9" t="str">
        <f t="shared" ca="1" si="76"/>
        <v/>
      </c>
      <c r="AC459" s="9" t="str">
        <f t="shared" ca="1" si="77"/>
        <v/>
      </c>
      <c r="AD459" s="9" t="str">
        <f t="shared" ca="1" si="78"/>
        <v/>
      </c>
      <c r="AE459" s="9" t="str">
        <f t="shared" ca="1" si="79"/>
        <v/>
      </c>
      <c r="AF459" s="9" t="str">
        <f ca="1">IF(AND(Y459,AA459="ERREUR"),COUNTIF($AA$2:$AA459,"ERREUR"),"")</f>
        <v/>
      </c>
    </row>
    <row r="460" spans="23:32" ht="25" customHeight="1">
      <c r="W460" s="19">
        <f t="shared" ca="1" si="72"/>
        <v>46010</v>
      </c>
      <c r="X460" s="9" t="str">
        <f t="shared" ca="1" si="73"/>
        <v>19122025</v>
      </c>
      <c r="Y460" s="9" t="b">
        <f t="shared" ca="1" si="74"/>
        <v>0</v>
      </c>
      <c r="Z460" s="9" t="str">
        <f ca="1">IF(Y460,COUNTIF($Y$2:$Y460,TRUE),"")</f>
        <v/>
      </c>
      <c r="AA460" s="9" t="str">
        <f t="shared" ca="1" si="75"/>
        <v/>
      </c>
      <c r="AB460" s="9" t="str">
        <f t="shared" ca="1" si="76"/>
        <v/>
      </c>
      <c r="AC460" s="9" t="str">
        <f t="shared" ca="1" si="77"/>
        <v/>
      </c>
      <c r="AD460" s="9" t="str">
        <f t="shared" ca="1" si="78"/>
        <v/>
      </c>
      <c r="AE460" s="9" t="str">
        <f t="shared" ca="1" si="79"/>
        <v/>
      </c>
      <c r="AF460" s="9" t="str">
        <f ca="1">IF(AND(Y460,AA460="ERREUR"),COUNTIF($AA$2:$AA460,"ERREUR"),"")</f>
        <v/>
      </c>
    </row>
    <row r="461" spans="23:32" ht="25" customHeight="1">
      <c r="W461" s="19">
        <f t="shared" ca="1" si="72"/>
        <v>46009</v>
      </c>
      <c r="X461" s="9" t="str">
        <f t="shared" ca="1" si="73"/>
        <v>18122025</v>
      </c>
      <c r="Y461" s="9" t="b">
        <f t="shared" ca="1" si="74"/>
        <v>0</v>
      </c>
      <c r="Z461" s="9" t="str">
        <f ca="1">IF(Y461,COUNTIF($Y$2:$Y461,TRUE),"")</f>
        <v/>
      </c>
      <c r="AA461" s="9" t="str">
        <f t="shared" ca="1" si="75"/>
        <v/>
      </c>
      <c r="AB461" s="9" t="str">
        <f t="shared" ca="1" si="76"/>
        <v/>
      </c>
      <c r="AC461" s="9" t="str">
        <f t="shared" ca="1" si="77"/>
        <v/>
      </c>
      <c r="AD461" s="9" t="str">
        <f t="shared" ca="1" si="78"/>
        <v/>
      </c>
      <c r="AE461" s="9" t="str">
        <f t="shared" ca="1" si="79"/>
        <v/>
      </c>
      <c r="AF461" s="9" t="str">
        <f ca="1">IF(AND(Y461,AA461="ERREUR"),COUNTIF($AA$2:$AA461,"ERREUR"),"")</f>
        <v/>
      </c>
    </row>
    <row r="462" spans="23:32" ht="25" customHeight="1">
      <c r="W462" s="19">
        <f t="shared" ca="1" si="72"/>
        <v>46008</v>
      </c>
      <c r="X462" s="9" t="str">
        <f t="shared" ca="1" si="73"/>
        <v>17122025</v>
      </c>
      <c r="Y462" s="9" t="b">
        <f t="shared" ca="1" si="74"/>
        <v>0</v>
      </c>
      <c r="Z462" s="9" t="str">
        <f ca="1">IF(Y462,COUNTIF($Y$2:$Y462,TRUE),"")</f>
        <v/>
      </c>
      <c r="AA462" s="9" t="str">
        <f t="shared" ca="1" si="75"/>
        <v/>
      </c>
      <c r="AB462" s="9" t="str">
        <f t="shared" ca="1" si="76"/>
        <v/>
      </c>
      <c r="AC462" s="9" t="str">
        <f t="shared" ca="1" si="77"/>
        <v/>
      </c>
      <c r="AD462" s="9" t="str">
        <f t="shared" ca="1" si="78"/>
        <v/>
      </c>
      <c r="AE462" s="9" t="str">
        <f t="shared" ca="1" si="79"/>
        <v/>
      </c>
      <c r="AF462" s="9" t="str">
        <f ca="1">IF(AND(Y462,AA462="ERREUR"),COUNTIF($AA$2:$AA462,"ERREUR"),"")</f>
        <v/>
      </c>
    </row>
    <row r="463" spans="23:32" ht="25" customHeight="1">
      <c r="W463" s="19">
        <f t="shared" ca="1" si="72"/>
        <v>46007</v>
      </c>
      <c r="X463" s="9" t="str">
        <f t="shared" ca="1" si="73"/>
        <v>16122025</v>
      </c>
      <c r="Y463" s="9" t="b">
        <f t="shared" ca="1" si="74"/>
        <v>0</v>
      </c>
      <c r="Z463" s="9" t="str">
        <f ca="1">IF(Y463,COUNTIF($Y$2:$Y463,TRUE),"")</f>
        <v/>
      </c>
      <c r="AA463" s="9" t="str">
        <f t="shared" ca="1" si="75"/>
        <v/>
      </c>
      <c r="AB463" s="9" t="str">
        <f t="shared" ca="1" si="76"/>
        <v/>
      </c>
      <c r="AC463" s="9" t="str">
        <f t="shared" ca="1" si="77"/>
        <v/>
      </c>
      <c r="AD463" s="9" t="str">
        <f t="shared" ca="1" si="78"/>
        <v/>
      </c>
      <c r="AE463" s="9" t="str">
        <f t="shared" ca="1" si="79"/>
        <v/>
      </c>
      <c r="AF463" s="9" t="str">
        <f ca="1">IF(AND(Y463,AA463="ERREUR"),COUNTIF($AA$2:$AA463,"ERREUR"),"")</f>
        <v/>
      </c>
    </row>
    <row r="464" spans="23:32" ht="25" customHeight="1">
      <c r="W464" s="19">
        <f t="shared" ca="1" si="72"/>
        <v>46006</v>
      </c>
      <c r="X464" s="9" t="str">
        <f t="shared" ca="1" si="73"/>
        <v>15122025</v>
      </c>
      <c r="Y464" s="9" t="b">
        <f t="shared" ca="1" si="74"/>
        <v>0</v>
      </c>
      <c r="Z464" s="9" t="str">
        <f ca="1">IF(Y464,COUNTIF($Y$2:$Y464,TRUE),"")</f>
        <v/>
      </c>
      <c r="AA464" s="9" t="str">
        <f t="shared" ca="1" si="75"/>
        <v/>
      </c>
      <c r="AB464" s="9" t="str">
        <f t="shared" ca="1" si="76"/>
        <v/>
      </c>
      <c r="AC464" s="9" t="str">
        <f t="shared" ca="1" si="77"/>
        <v/>
      </c>
      <c r="AD464" s="9" t="str">
        <f t="shared" ca="1" si="78"/>
        <v/>
      </c>
      <c r="AE464" s="9" t="str">
        <f t="shared" ca="1" si="79"/>
        <v/>
      </c>
      <c r="AF464" s="9" t="str">
        <f ca="1">IF(AND(Y464,AA464="ERREUR"),COUNTIF($AA$2:$AA464,"ERREUR"),"")</f>
        <v/>
      </c>
    </row>
    <row r="465" spans="23:32" ht="25" customHeight="1">
      <c r="W465" s="19">
        <f t="shared" ca="1" si="72"/>
        <v>46005</v>
      </c>
      <c r="X465" s="9" t="str">
        <f t="shared" ca="1" si="73"/>
        <v>14122025</v>
      </c>
      <c r="Y465" s="9" t="b">
        <f t="shared" ca="1" si="74"/>
        <v>0</v>
      </c>
      <c r="Z465" s="9" t="str">
        <f ca="1">IF(Y465,COUNTIF($Y$2:$Y465,TRUE),"")</f>
        <v/>
      </c>
      <c r="AA465" s="9" t="str">
        <f t="shared" ca="1" si="75"/>
        <v/>
      </c>
      <c r="AB465" s="9" t="str">
        <f t="shared" ca="1" si="76"/>
        <v/>
      </c>
      <c r="AC465" s="9" t="str">
        <f t="shared" ca="1" si="77"/>
        <v/>
      </c>
      <c r="AD465" s="9" t="str">
        <f t="shared" ca="1" si="78"/>
        <v/>
      </c>
      <c r="AE465" s="9" t="str">
        <f t="shared" ca="1" si="79"/>
        <v/>
      </c>
      <c r="AF465" s="9" t="str">
        <f ca="1">IF(AND(Y465,AA465="ERREUR"),COUNTIF($AA$2:$AA465,"ERREUR"),"")</f>
        <v/>
      </c>
    </row>
    <row r="466" spans="23:32" ht="25" customHeight="1">
      <c r="W466" s="19">
        <f t="shared" ca="1" si="72"/>
        <v>46004</v>
      </c>
      <c r="X466" s="9" t="str">
        <f t="shared" ca="1" si="73"/>
        <v>13122025</v>
      </c>
      <c r="Y466" s="9" t="b">
        <f t="shared" ca="1" si="74"/>
        <v>0</v>
      </c>
      <c r="Z466" s="9" t="str">
        <f ca="1">IF(Y466,COUNTIF($Y$2:$Y466,TRUE),"")</f>
        <v/>
      </c>
      <c r="AA466" s="9" t="str">
        <f t="shared" ca="1" si="75"/>
        <v/>
      </c>
      <c r="AB466" s="9" t="str">
        <f t="shared" ca="1" si="76"/>
        <v/>
      </c>
      <c r="AC466" s="9" t="str">
        <f t="shared" ca="1" si="77"/>
        <v/>
      </c>
      <c r="AD466" s="9" t="str">
        <f t="shared" ca="1" si="78"/>
        <v/>
      </c>
      <c r="AE466" s="9" t="str">
        <f t="shared" ca="1" si="79"/>
        <v/>
      </c>
      <c r="AF466" s="9" t="str">
        <f ca="1">IF(AND(Y466,AA466="ERREUR"),COUNTIF($AA$2:$AA466,"ERREUR"),"")</f>
        <v/>
      </c>
    </row>
    <row r="467" spans="23:32" ht="25" customHeight="1">
      <c r="W467" s="19">
        <f t="shared" ca="1" si="72"/>
        <v>46003</v>
      </c>
      <c r="X467" s="9" t="str">
        <f t="shared" ca="1" si="73"/>
        <v>12122025</v>
      </c>
      <c r="Y467" s="9" t="b">
        <f t="shared" ca="1" si="74"/>
        <v>0</v>
      </c>
      <c r="Z467" s="9" t="str">
        <f ca="1">IF(Y467,COUNTIF($Y$2:$Y467,TRUE),"")</f>
        <v/>
      </c>
      <c r="AA467" s="9" t="str">
        <f t="shared" ca="1" si="75"/>
        <v/>
      </c>
      <c r="AB467" s="9" t="str">
        <f t="shared" ca="1" si="76"/>
        <v/>
      </c>
      <c r="AC467" s="9" t="str">
        <f t="shared" ca="1" si="77"/>
        <v/>
      </c>
      <c r="AD467" s="9" t="str">
        <f t="shared" ca="1" si="78"/>
        <v/>
      </c>
      <c r="AE467" s="9" t="str">
        <f t="shared" ca="1" si="79"/>
        <v/>
      </c>
      <c r="AF467" s="9" t="str">
        <f ca="1">IF(AND(Y467,AA467="ERREUR"),COUNTIF($AA$2:$AA467,"ERREUR"),"")</f>
        <v/>
      </c>
    </row>
    <row r="468" spans="23:32" ht="25" customHeight="1">
      <c r="W468" s="19">
        <f t="shared" ca="1" si="72"/>
        <v>46002</v>
      </c>
      <c r="X468" s="9" t="str">
        <f t="shared" ca="1" si="73"/>
        <v>11122025</v>
      </c>
      <c r="Y468" s="9" t="b">
        <f t="shared" ca="1" si="74"/>
        <v>0</v>
      </c>
      <c r="Z468" s="9" t="str">
        <f ca="1">IF(Y468,COUNTIF($Y$2:$Y468,TRUE),"")</f>
        <v/>
      </c>
      <c r="AA468" s="9" t="str">
        <f t="shared" ca="1" si="75"/>
        <v/>
      </c>
      <c r="AB468" s="9" t="str">
        <f t="shared" ca="1" si="76"/>
        <v/>
      </c>
      <c r="AC468" s="9" t="str">
        <f t="shared" ca="1" si="77"/>
        <v/>
      </c>
      <c r="AD468" s="9" t="str">
        <f t="shared" ca="1" si="78"/>
        <v/>
      </c>
      <c r="AE468" s="9" t="str">
        <f t="shared" ca="1" si="79"/>
        <v/>
      </c>
      <c r="AF468" s="9" t="str">
        <f ca="1">IF(AND(Y468,AA468="ERREUR"),COUNTIF($AA$2:$AA468,"ERREUR"),"")</f>
        <v/>
      </c>
    </row>
    <row r="469" spans="23:32" ht="25" customHeight="1">
      <c r="W469" s="19">
        <f t="shared" ca="1" si="72"/>
        <v>46001</v>
      </c>
      <c r="X469" s="9" t="str">
        <f t="shared" ca="1" si="73"/>
        <v>10122025</v>
      </c>
      <c r="Y469" s="9" t="b">
        <f t="shared" ca="1" si="74"/>
        <v>0</v>
      </c>
      <c r="Z469" s="9" t="str">
        <f ca="1">IF(Y469,COUNTIF($Y$2:$Y469,TRUE),"")</f>
        <v/>
      </c>
      <c r="AA469" s="9" t="str">
        <f t="shared" ca="1" si="75"/>
        <v/>
      </c>
      <c r="AB469" s="9" t="str">
        <f t="shared" ca="1" si="76"/>
        <v/>
      </c>
      <c r="AC469" s="9" t="str">
        <f t="shared" ca="1" si="77"/>
        <v/>
      </c>
      <c r="AD469" s="9" t="str">
        <f t="shared" ca="1" si="78"/>
        <v/>
      </c>
      <c r="AE469" s="9" t="str">
        <f t="shared" ca="1" si="79"/>
        <v/>
      </c>
      <c r="AF469" s="9" t="str">
        <f ca="1">IF(AND(Y469,AA469="ERREUR"),COUNTIF($AA$2:$AA469,"ERREUR"),"")</f>
        <v/>
      </c>
    </row>
    <row r="470" spans="23:32" ht="25" customHeight="1">
      <c r="W470" s="19">
        <f t="shared" ca="1" si="72"/>
        <v>46000</v>
      </c>
      <c r="X470" s="9" t="str">
        <f t="shared" ca="1" si="73"/>
        <v>09122025</v>
      </c>
      <c r="Y470" s="9" t="b">
        <f t="shared" ca="1" si="74"/>
        <v>0</v>
      </c>
      <c r="Z470" s="9" t="str">
        <f ca="1">IF(Y470,COUNTIF($Y$2:$Y470,TRUE),"")</f>
        <v/>
      </c>
      <c r="AA470" s="9" t="str">
        <f t="shared" ca="1" si="75"/>
        <v/>
      </c>
      <c r="AB470" s="9" t="str">
        <f t="shared" ca="1" si="76"/>
        <v/>
      </c>
      <c r="AC470" s="9" t="str">
        <f t="shared" ca="1" si="77"/>
        <v/>
      </c>
      <c r="AD470" s="9" t="str">
        <f t="shared" ca="1" si="78"/>
        <v/>
      </c>
      <c r="AE470" s="9" t="str">
        <f t="shared" ca="1" si="79"/>
        <v/>
      </c>
      <c r="AF470" s="9" t="str">
        <f ca="1">IF(AND(Y470,AA470="ERREUR"),COUNTIF($AA$2:$AA470,"ERREUR"),"")</f>
        <v/>
      </c>
    </row>
    <row r="471" spans="23:32" ht="25" customHeight="1">
      <c r="W471" s="19">
        <f t="shared" ca="1" si="72"/>
        <v>45999</v>
      </c>
      <c r="X471" s="9" t="str">
        <f t="shared" ca="1" si="73"/>
        <v>08122025</v>
      </c>
      <c r="Y471" s="9" t="b">
        <f t="shared" ca="1" si="74"/>
        <v>0</v>
      </c>
      <c r="Z471" s="9" t="str">
        <f ca="1">IF(Y471,COUNTIF($Y$2:$Y471,TRUE),"")</f>
        <v/>
      </c>
      <c r="AA471" s="9" t="str">
        <f t="shared" ca="1" si="75"/>
        <v/>
      </c>
      <c r="AB471" s="9" t="str">
        <f t="shared" ca="1" si="76"/>
        <v/>
      </c>
      <c r="AC471" s="9" t="str">
        <f t="shared" ca="1" si="77"/>
        <v/>
      </c>
      <c r="AD471" s="9" t="str">
        <f t="shared" ca="1" si="78"/>
        <v/>
      </c>
      <c r="AE471" s="9" t="str">
        <f t="shared" ca="1" si="79"/>
        <v/>
      </c>
      <c r="AF471" s="9" t="str">
        <f ca="1">IF(AND(Y471,AA471="ERREUR"),COUNTIF($AA$2:$AA471,"ERREUR"),"")</f>
        <v/>
      </c>
    </row>
    <row r="472" spans="23:32" ht="25" customHeight="1">
      <c r="W472" s="19">
        <f t="shared" ca="1" si="72"/>
        <v>45998</v>
      </c>
      <c r="X472" s="9" t="str">
        <f t="shared" ca="1" si="73"/>
        <v>07122025</v>
      </c>
      <c r="Y472" s="9" t="b">
        <f t="shared" ca="1" si="74"/>
        <v>0</v>
      </c>
      <c r="Z472" s="9" t="str">
        <f ca="1">IF(Y472,COUNTIF($Y$2:$Y472,TRUE),"")</f>
        <v/>
      </c>
      <c r="AA472" s="9" t="str">
        <f t="shared" ca="1" si="75"/>
        <v/>
      </c>
      <c r="AB472" s="9" t="str">
        <f t="shared" ca="1" si="76"/>
        <v/>
      </c>
      <c r="AC472" s="9" t="str">
        <f t="shared" ca="1" si="77"/>
        <v/>
      </c>
      <c r="AD472" s="9" t="str">
        <f t="shared" ca="1" si="78"/>
        <v/>
      </c>
      <c r="AE472" s="9" t="str">
        <f t="shared" ca="1" si="79"/>
        <v/>
      </c>
      <c r="AF472" s="9" t="str">
        <f ca="1">IF(AND(Y472,AA472="ERREUR"),COUNTIF($AA$2:$AA472,"ERREUR"),"")</f>
        <v/>
      </c>
    </row>
    <row r="473" spans="23:32" ht="25" customHeight="1">
      <c r="W473" s="19">
        <f t="shared" ca="1" si="72"/>
        <v>45997</v>
      </c>
      <c r="X473" s="9" t="str">
        <f t="shared" ca="1" si="73"/>
        <v>06122025</v>
      </c>
      <c r="Y473" s="9" t="b">
        <f t="shared" ca="1" si="74"/>
        <v>0</v>
      </c>
      <c r="Z473" s="9" t="str">
        <f ca="1">IF(Y473,COUNTIF($Y$2:$Y473,TRUE),"")</f>
        <v/>
      </c>
      <c r="AA473" s="9" t="str">
        <f t="shared" ca="1" si="75"/>
        <v/>
      </c>
      <c r="AB473" s="9" t="str">
        <f t="shared" ca="1" si="76"/>
        <v/>
      </c>
      <c r="AC473" s="9" t="str">
        <f t="shared" ca="1" si="77"/>
        <v/>
      </c>
      <c r="AD473" s="9" t="str">
        <f t="shared" ca="1" si="78"/>
        <v/>
      </c>
      <c r="AE473" s="9" t="str">
        <f t="shared" ca="1" si="79"/>
        <v/>
      </c>
      <c r="AF473" s="9" t="str">
        <f ca="1">IF(AND(Y473,AA473="ERREUR"),COUNTIF($AA$2:$AA473,"ERREUR"),"")</f>
        <v/>
      </c>
    </row>
    <row r="474" spans="23:32" ht="25" customHeight="1">
      <c r="W474" s="19">
        <f t="shared" ca="1" si="72"/>
        <v>45996</v>
      </c>
      <c r="X474" s="9" t="str">
        <f t="shared" ca="1" si="73"/>
        <v>05122025</v>
      </c>
      <c r="Y474" s="9" t="b">
        <f t="shared" ca="1" si="74"/>
        <v>0</v>
      </c>
      <c r="Z474" s="9" t="str">
        <f ca="1">IF(Y474,COUNTIF($Y$2:$Y474,TRUE),"")</f>
        <v/>
      </c>
      <c r="AA474" s="9" t="str">
        <f t="shared" ca="1" si="75"/>
        <v/>
      </c>
      <c r="AB474" s="9" t="str">
        <f t="shared" ca="1" si="76"/>
        <v/>
      </c>
      <c r="AC474" s="9" t="str">
        <f t="shared" ca="1" si="77"/>
        <v/>
      </c>
      <c r="AD474" s="9" t="str">
        <f t="shared" ca="1" si="78"/>
        <v/>
      </c>
      <c r="AE474" s="9" t="str">
        <f t="shared" ca="1" si="79"/>
        <v/>
      </c>
      <c r="AF474" s="9" t="str">
        <f ca="1">IF(AND(Y474,AA474="ERREUR"),COUNTIF($AA$2:$AA474,"ERREUR"),"")</f>
        <v/>
      </c>
    </row>
    <row r="475" spans="23:32" ht="25" customHeight="1">
      <c r="W475" s="19">
        <f t="shared" ca="1" si="72"/>
        <v>45995</v>
      </c>
      <c r="X475" s="9" t="str">
        <f t="shared" ca="1" si="73"/>
        <v>04122025</v>
      </c>
      <c r="Y475" s="9" t="b">
        <f t="shared" ca="1" si="74"/>
        <v>0</v>
      </c>
      <c r="Z475" s="9" t="str">
        <f ca="1">IF(Y475,COUNTIF($Y$2:$Y475,TRUE),"")</f>
        <v/>
      </c>
      <c r="AA475" s="9" t="str">
        <f t="shared" ca="1" si="75"/>
        <v/>
      </c>
      <c r="AB475" s="9" t="str">
        <f t="shared" ca="1" si="76"/>
        <v/>
      </c>
      <c r="AC475" s="9" t="str">
        <f t="shared" ca="1" si="77"/>
        <v/>
      </c>
      <c r="AD475" s="9" t="str">
        <f t="shared" ca="1" si="78"/>
        <v/>
      </c>
      <c r="AE475" s="9" t="str">
        <f t="shared" ca="1" si="79"/>
        <v/>
      </c>
      <c r="AF475" s="9" t="str">
        <f ca="1">IF(AND(Y475,AA475="ERREUR"),COUNTIF($AA$2:$AA475,"ERREUR"),"")</f>
        <v/>
      </c>
    </row>
    <row r="476" spans="23:32" ht="25" customHeight="1">
      <c r="W476" s="19">
        <f t="shared" ca="1" si="72"/>
        <v>45994</v>
      </c>
      <c r="X476" s="9" t="str">
        <f t="shared" ca="1" si="73"/>
        <v>03122025</v>
      </c>
      <c r="Y476" s="9" t="b">
        <f t="shared" ca="1" si="74"/>
        <v>0</v>
      </c>
      <c r="Z476" s="9" t="str">
        <f ca="1">IF(Y476,COUNTIF($Y$2:$Y476,TRUE),"")</f>
        <v/>
      </c>
      <c r="AA476" s="9" t="str">
        <f t="shared" ca="1" si="75"/>
        <v/>
      </c>
      <c r="AB476" s="9" t="str">
        <f t="shared" ca="1" si="76"/>
        <v/>
      </c>
      <c r="AC476" s="9" t="str">
        <f t="shared" ca="1" si="77"/>
        <v/>
      </c>
      <c r="AD476" s="9" t="str">
        <f t="shared" ca="1" si="78"/>
        <v/>
      </c>
      <c r="AE476" s="9" t="str">
        <f t="shared" ca="1" si="79"/>
        <v/>
      </c>
      <c r="AF476" s="9" t="str">
        <f ca="1">IF(AND(Y476,AA476="ERREUR"),COUNTIF($AA$2:$AA476,"ERREUR"),"")</f>
        <v/>
      </c>
    </row>
    <row r="477" spans="23:32" ht="25" customHeight="1">
      <c r="W477" s="19">
        <f t="shared" ca="1" si="72"/>
        <v>45993</v>
      </c>
      <c r="X477" s="9" t="str">
        <f t="shared" ca="1" si="73"/>
        <v>02122025</v>
      </c>
      <c r="Y477" s="9" t="b">
        <f t="shared" ca="1" si="74"/>
        <v>0</v>
      </c>
      <c r="Z477" s="9" t="str">
        <f ca="1">IF(Y477,COUNTIF($Y$2:$Y477,TRUE),"")</f>
        <v/>
      </c>
      <c r="AA477" s="9" t="str">
        <f t="shared" ca="1" si="75"/>
        <v/>
      </c>
      <c r="AB477" s="9" t="str">
        <f t="shared" ca="1" si="76"/>
        <v/>
      </c>
      <c r="AC477" s="9" t="str">
        <f t="shared" ca="1" si="77"/>
        <v/>
      </c>
      <c r="AD477" s="9" t="str">
        <f t="shared" ca="1" si="78"/>
        <v/>
      </c>
      <c r="AE477" s="9" t="str">
        <f t="shared" ca="1" si="79"/>
        <v/>
      </c>
      <c r="AF477" s="9" t="str">
        <f ca="1">IF(AND(Y477,AA477="ERREUR"),COUNTIF($AA$2:$AA477,"ERREUR"),"")</f>
        <v/>
      </c>
    </row>
    <row r="478" spans="23:32" ht="25" customHeight="1">
      <c r="W478" s="19">
        <f t="shared" ca="1" si="72"/>
        <v>45992</v>
      </c>
      <c r="X478" s="9" t="str">
        <f t="shared" ca="1" si="73"/>
        <v>01122025</v>
      </c>
      <c r="Y478" s="9" t="b">
        <f t="shared" ca="1" si="74"/>
        <v>0</v>
      </c>
      <c r="Z478" s="9" t="str">
        <f ca="1">IF(Y478,COUNTIF($Y$2:$Y478,TRUE),"")</f>
        <v/>
      </c>
      <c r="AA478" s="9" t="str">
        <f t="shared" ca="1" si="75"/>
        <v/>
      </c>
      <c r="AB478" s="9" t="str">
        <f t="shared" ca="1" si="76"/>
        <v/>
      </c>
      <c r="AC478" s="9" t="str">
        <f t="shared" ca="1" si="77"/>
        <v/>
      </c>
      <c r="AD478" s="9" t="str">
        <f t="shared" ca="1" si="78"/>
        <v/>
      </c>
      <c r="AE478" s="9" t="str">
        <f t="shared" ca="1" si="79"/>
        <v/>
      </c>
      <c r="AF478" s="9" t="str">
        <f ca="1">IF(AND(Y478,AA478="ERREUR"),COUNTIF($AA$2:$AA478,"ERREUR"),"")</f>
        <v/>
      </c>
    </row>
    <row r="479" spans="23:32" ht="25" customHeight="1">
      <c r="W479" s="19">
        <f t="shared" ca="1" si="72"/>
        <v>45991</v>
      </c>
      <c r="X479" s="9" t="str">
        <f t="shared" ca="1" si="73"/>
        <v>30112025</v>
      </c>
      <c r="Y479" s="9" t="b">
        <f t="shared" ca="1" si="74"/>
        <v>0</v>
      </c>
      <c r="Z479" s="9" t="str">
        <f ca="1">IF(Y479,COUNTIF($Y$2:$Y479,TRUE),"")</f>
        <v/>
      </c>
      <c r="AA479" s="9" t="str">
        <f t="shared" ca="1" si="75"/>
        <v/>
      </c>
      <c r="AB479" s="9" t="str">
        <f t="shared" ca="1" si="76"/>
        <v/>
      </c>
      <c r="AC479" s="9" t="str">
        <f t="shared" ca="1" si="77"/>
        <v/>
      </c>
      <c r="AD479" s="9" t="str">
        <f t="shared" ca="1" si="78"/>
        <v/>
      </c>
      <c r="AE479" s="9" t="str">
        <f t="shared" ca="1" si="79"/>
        <v/>
      </c>
      <c r="AF479" s="9" t="str">
        <f ca="1">IF(AND(Y479,AA479="ERREUR"),COUNTIF($AA$2:$AA479,"ERREUR"),"")</f>
        <v/>
      </c>
    </row>
    <row r="480" spans="23:32" ht="25" customHeight="1">
      <c r="W480" s="19">
        <f t="shared" ca="1" si="72"/>
        <v>45990</v>
      </c>
      <c r="X480" s="9" t="str">
        <f t="shared" ca="1" si="73"/>
        <v>29112025</v>
      </c>
      <c r="Y480" s="9" t="b">
        <f t="shared" ca="1" si="74"/>
        <v>0</v>
      </c>
      <c r="Z480" s="9" t="str">
        <f ca="1">IF(Y480,COUNTIF($Y$2:$Y480,TRUE),"")</f>
        <v/>
      </c>
      <c r="AA480" s="9" t="str">
        <f t="shared" ca="1" si="75"/>
        <v/>
      </c>
      <c r="AB480" s="9" t="str">
        <f t="shared" ca="1" si="76"/>
        <v/>
      </c>
      <c r="AC480" s="9" t="str">
        <f t="shared" ca="1" si="77"/>
        <v/>
      </c>
      <c r="AD480" s="9" t="str">
        <f t="shared" ca="1" si="78"/>
        <v/>
      </c>
      <c r="AE480" s="9" t="str">
        <f t="shared" ca="1" si="79"/>
        <v/>
      </c>
      <c r="AF480" s="9" t="str">
        <f ca="1">IF(AND(Y480,AA480="ERREUR"),COUNTIF($AA$2:$AA480,"ERREUR"),"")</f>
        <v/>
      </c>
    </row>
    <row r="481" spans="23:32" ht="25" customHeight="1">
      <c r="W481" s="19">
        <f t="shared" ca="1" si="72"/>
        <v>45989</v>
      </c>
      <c r="X481" s="9" t="str">
        <f t="shared" ca="1" si="73"/>
        <v>28112025</v>
      </c>
      <c r="Y481" s="9" t="b">
        <f t="shared" ca="1" si="74"/>
        <v>0</v>
      </c>
      <c r="Z481" s="9" t="str">
        <f ca="1">IF(Y481,COUNTIF($Y$2:$Y481,TRUE),"")</f>
        <v/>
      </c>
      <c r="AA481" s="9" t="str">
        <f t="shared" ca="1" si="75"/>
        <v/>
      </c>
      <c r="AB481" s="9" t="str">
        <f t="shared" ca="1" si="76"/>
        <v/>
      </c>
      <c r="AC481" s="9" t="str">
        <f t="shared" ca="1" si="77"/>
        <v/>
      </c>
      <c r="AD481" s="9" t="str">
        <f t="shared" ca="1" si="78"/>
        <v/>
      </c>
      <c r="AE481" s="9" t="str">
        <f t="shared" ca="1" si="79"/>
        <v/>
      </c>
      <c r="AF481" s="9" t="str">
        <f ca="1">IF(AND(Y481,AA481="ERREUR"),COUNTIF($AA$2:$AA481,"ERREUR"),"")</f>
        <v/>
      </c>
    </row>
    <row r="482" spans="23:32" ht="25" customHeight="1">
      <c r="W482" s="19">
        <f t="shared" ca="1" si="72"/>
        <v>45988</v>
      </c>
      <c r="X482" s="9" t="str">
        <f t="shared" ca="1" si="73"/>
        <v>27112025</v>
      </c>
      <c r="Y482" s="9" t="b">
        <f t="shared" ca="1" si="74"/>
        <v>0</v>
      </c>
      <c r="Z482" s="9" t="str">
        <f ca="1">IF(Y482,COUNTIF($Y$2:$Y482,TRUE),"")</f>
        <v/>
      </c>
      <c r="AA482" s="9" t="str">
        <f t="shared" ca="1" si="75"/>
        <v/>
      </c>
      <c r="AB482" s="9" t="str">
        <f t="shared" ca="1" si="76"/>
        <v/>
      </c>
      <c r="AC482" s="9" t="str">
        <f t="shared" ca="1" si="77"/>
        <v/>
      </c>
      <c r="AD482" s="9" t="str">
        <f t="shared" ca="1" si="78"/>
        <v/>
      </c>
      <c r="AE482" s="9" t="str">
        <f t="shared" ca="1" si="79"/>
        <v/>
      </c>
      <c r="AF482" s="9" t="str">
        <f ca="1">IF(AND(Y482,AA482="ERREUR"),COUNTIF($AA$2:$AA482,"ERREUR"),"")</f>
        <v/>
      </c>
    </row>
    <row r="483" spans="23:32" ht="25" customHeight="1">
      <c r="W483" s="19">
        <f t="shared" ca="1" si="72"/>
        <v>45987</v>
      </c>
      <c r="X483" s="9" t="str">
        <f t="shared" ca="1" si="73"/>
        <v>26112025</v>
      </c>
      <c r="Y483" s="9" t="b">
        <f t="shared" ca="1" si="74"/>
        <v>0</v>
      </c>
      <c r="Z483" s="9" t="str">
        <f ca="1">IF(Y483,COUNTIF($Y$2:$Y483,TRUE),"")</f>
        <v/>
      </c>
      <c r="AA483" s="9" t="str">
        <f t="shared" ca="1" si="75"/>
        <v/>
      </c>
      <c r="AB483" s="9" t="str">
        <f t="shared" ca="1" si="76"/>
        <v/>
      </c>
      <c r="AC483" s="9" t="str">
        <f t="shared" ca="1" si="77"/>
        <v/>
      </c>
      <c r="AD483" s="9" t="str">
        <f t="shared" ca="1" si="78"/>
        <v/>
      </c>
      <c r="AE483" s="9" t="str">
        <f t="shared" ca="1" si="79"/>
        <v/>
      </c>
      <c r="AF483" s="9" t="str">
        <f ca="1">IF(AND(Y483,AA483="ERREUR"),COUNTIF($AA$2:$AA483,"ERREUR"),"")</f>
        <v/>
      </c>
    </row>
    <row r="484" spans="23:32" ht="25" customHeight="1">
      <c r="W484" s="19">
        <f t="shared" ca="1" si="72"/>
        <v>45986</v>
      </c>
      <c r="X484" s="9" t="str">
        <f t="shared" ca="1" si="73"/>
        <v>25112025</v>
      </c>
      <c r="Y484" s="9" t="b">
        <f t="shared" ca="1" si="74"/>
        <v>0</v>
      </c>
      <c r="Z484" s="9" t="str">
        <f ca="1">IF(Y484,COUNTIF($Y$2:$Y484,TRUE),"")</f>
        <v/>
      </c>
      <c r="AA484" s="9" t="str">
        <f t="shared" ca="1" si="75"/>
        <v/>
      </c>
      <c r="AB484" s="9" t="str">
        <f t="shared" ca="1" si="76"/>
        <v/>
      </c>
      <c r="AC484" s="9" t="str">
        <f t="shared" ca="1" si="77"/>
        <v/>
      </c>
      <c r="AD484" s="9" t="str">
        <f t="shared" ca="1" si="78"/>
        <v/>
      </c>
      <c r="AE484" s="9" t="str">
        <f t="shared" ca="1" si="79"/>
        <v/>
      </c>
      <c r="AF484" s="9" t="str">
        <f ca="1">IF(AND(Y484,AA484="ERREUR"),COUNTIF($AA$2:$AA484,"ERREUR"),"")</f>
        <v/>
      </c>
    </row>
    <row r="485" spans="23:32" ht="25" customHeight="1">
      <c r="W485" s="19">
        <f t="shared" ca="1" si="72"/>
        <v>45985</v>
      </c>
      <c r="X485" s="9" t="str">
        <f t="shared" ca="1" si="73"/>
        <v>24112025</v>
      </c>
      <c r="Y485" s="9" t="b">
        <f t="shared" ca="1" si="74"/>
        <v>0</v>
      </c>
      <c r="Z485" s="9" t="str">
        <f ca="1">IF(Y485,COUNTIF($Y$2:$Y485,TRUE),"")</f>
        <v/>
      </c>
      <c r="AA485" s="9" t="str">
        <f t="shared" ca="1" si="75"/>
        <v/>
      </c>
      <c r="AB485" s="9" t="str">
        <f t="shared" ca="1" si="76"/>
        <v/>
      </c>
      <c r="AC485" s="9" t="str">
        <f t="shared" ca="1" si="77"/>
        <v/>
      </c>
      <c r="AD485" s="9" t="str">
        <f t="shared" ca="1" si="78"/>
        <v/>
      </c>
      <c r="AE485" s="9" t="str">
        <f t="shared" ca="1" si="79"/>
        <v/>
      </c>
      <c r="AF485" s="9" t="str">
        <f ca="1">IF(AND(Y485,AA485="ERREUR"),COUNTIF($AA$2:$AA485,"ERREUR"),"")</f>
        <v/>
      </c>
    </row>
    <row r="486" spans="23:32" ht="25" customHeight="1">
      <c r="W486" s="19">
        <f t="shared" ca="1" si="72"/>
        <v>45984</v>
      </c>
      <c r="X486" s="9" t="str">
        <f t="shared" ca="1" si="73"/>
        <v>23112025</v>
      </c>
      <c r="Y486" s="9" t="b">
        <f t="shared" ca="1" si="74"/>
        <v>0</v>
      </c>
      <c r="Z486" s="9" t="str">
        <f ca="1">IF(Y486,COUNTIF($Y$2:$Y486,TRUE),"")</f>
        <v/>
      </c>
      <c r="AA486" s="9" t="str">
        <f t="shared" ca="1" si="75"/>
        <v/>
      </c>
      <c r="AB486" s="9" t="str">
        <f t="shared" ca="1" si="76"/>
        <v/>
      </c>
      <c r="AC486" s="9" t="str">
        <f t="shared" ca="1" si="77"/>
        <v/>
      </c>
      <c r="AD486" s="9" t="str">
        <f t="shared" ca="1" si="78"/>
        <v/>
      </c>
      <c r="AE486" s="9" t="str">
        <f t="shared" ca="1" si="79"/>
        <v/>
      </c>
      <c r="AF486" s="9" t="str">
        <f ca="1">IF(AND(Y486,AA486="ERREUR"),COUNTIF($AA$2:$AA486,"ERREUR"),"")</f>
        <v/>
      </c>
    </row>
    <row r="487" spans="23:32" ht="25" customHeight="1">
      <c r="W487" s="19">
        <f t="shared" ca="1" si="72"/>
        <v>45983</v>
      </c>
      <c r="X487" s="9" t="str">
        <f t="shared" ca="1" si="73"/>
        <v>22112025</v>
      </c>
      <c r="Y487" s="9" t="b">
        <f t="shared" ca="1" si="74"/>
        <v>0</v>
      </c>
      <c r="Z487" s="9" t="str">
        <f ca="1">IF(Y487,COUNTIF($Y$2:$Y487,TRUE),"")</f>
        <v/>
      </c>
      <c r="AA487" s="9" t="str">
        <f t="shared" ca="1" si="75"/>
        <v/>
      </c>
      <c r="AB487" s="9" t="str">
        <f t="shared" ca="1" si="76"/>
        <v/>
      </c>
      <c r="AC487" s="9" t="str">
        <f t="shared" ca="1" si="77"/>
        <v/>
      </c>
      <c r="AD487" s="9" t="str">
        <f t="shared" ca="1" si="78"/>
        <v/>
      </c>
      <c r="AE487" s="9" t="str">
        <f t="shared" ca="1" si="79"/>
        <v/>
      </c>
      <c r="AF487" s="9" t="str">
        <f ca="1">IF(AND(Y487,AA487="ERREUR"),COUNTIF($AA$2:$AA487,"ERREUR"),"")</f>
        <v/>
      </c>
    </row>
    <row r="488" spans="23:32" ht="25" customHeight="1">
      <c r="W488" s="19">
        <f t="shared" ca="1" si="72"/>
        <v>45982</v>
      </c>
      <c r="X488" s="9" t="str">
        <f t="shared" ca="1" si="73"/>
        <v>21112025</v>
      </c>
      <c r="Y488" s="9" t="b">
        <f t="shared" ca="1" si="74"/>
        <v>0</v>
      </c>
      <c r="Z488" s="9" t="str">
        <f ca="1">IF(Y488,COUNTIF($Y$2:$Y488,TRUE),"")</f>
        <v/>
      </c>
      <c r="AA488" s="9" t="str">
        <f t="shared" ca="1" si="75"/>
        <v/>
      </c>
      <c r="AB488" s="9" t="str">
        <f t="shared" ca="1" si="76"/>
        <v/>
      </c>
      <c r="AC488" s="9" t="str">
        <f t="shared" ca="1" si="77"/>
        <v/>
      </c>
      <c r="AD488" s="9" t="str">
        <f t="shared" ca="1" si="78"/>
        <v/>
      </c>
      <c r="AE488" s="9" t="str">
        <f t="shared" ca="1" si="79"/>
        <v/>
      </c>
      <c r="AF488" s="9" t="str">
        <f ca="1">IF(AND(Y488,AA488="ERREUR"),COUNTIF($AA$2:$AA488,"ERREUR"),"")</f>
        <v/>
      </c>
    </row>
    <row r="489" spans="23:32" ht="25" customHeight="1">
      <c r="W489" s="19">
        <f t="shared" ca="1" si="72"/>
        <v>45981</v>
      </c>
      <c r="X489" s="9" t="str">
        <f t="shared" ca="1" si="73"/>
        <v>20112025</v>
      </c>
      <c r="Y489" s="9" t="b">
        <f t="shared" ca="1" si="74"/>
        <v>0</v>
      </c>
      <c r="Z489" s="9" t="str">
        <f ca="1">IF(Y489,COUNTIF($Y$2:$Y489,TRUE),"")</f>
        <v/>
      </c>
      <c r="AA489" s="9" t="str">
        <f t="shared" ca="1" si="75"/>
        <v/>
      </c>
      <c r="AB489" s="9" t="str">
        <f t="shared" ca="1" si="76"/>
        <v/>
      </c>
      <c r="AC489" s="9" t="str">
        <f t="shared" ca="1" si="77"/>
        <v/>
      </c>
      <c r="AD489" s="9" t="str">
        <f t="shared" ca="1" si="78"/>
        <v/>
      </c>
      <c r="AE489" s="9" t="str">
        <f t="shared" ca="1" si="79"/>
        <v/>
      </c>
      <c r="AF489" s="9" t="str">
        <f ca="1">IF(AND(Y489,AA489="ERREUR"),COUNTIF($AA$2:$AA489,"ERREUR"),"")</f>
        <v/>
      </c>
    </row>
    <row r="490" spans="23:32" ht="25" customHeight="1">
      <c r="W490" s="19">
        <f t="shared" ca="1" si="72"/>
        <v>45980</v>
      </c>
      <c r="X490" s="9" t="str">
        <f t="shared" ca="1" si="73"/>
        <v>19112025</v>
      </c>
      <c r="Y490" s="9" t="b">
        <f t="shared" ca="1" si="74"/>
        <v>0</v>
      </c>
      <c r="Z490" s="9" t="str">
        <f ca="1">IF(Y490,COUNTIF($Y$2:$Y490,TRUE),"")</f>
        <v/>
      </c>
      <c r="AA490" s="9" t="str">
        <f t="shared" ca="1" si="75"/>
        <v/>
      </c>
      <c r="AB490" s="9" t="str">
        <f t="shared" ca="1" si="76"/>
        <v/>
      </c>
      <c r="AC490" s="9" t="str">
        <f t="shared" ca="1" si="77"/>
        <v/>
      </c>
      <c r="AD490" s="9" t="str">
        <f t="shared" ca="1" si="78"/>
        <v/>
      </c>
      <c r="AE490" s="9" t="str">
        <f t="shared" ca="1" si="79"/>
        <v/>
      </c>
      <c r="AF490" s="9" t="str">
        <f ca="1">IF(AND(Y490,AA490="ERREUR"),COUNTIF($AA$2:$AA490,"ERREUR"),"")</f>
        <v/>
      </c>
    </row>
    <row r="491" spans="23:32" ht="25" customHeight="1">
      <c r="W491" s="19">
        <f t="shared" ca="1" si="72"/>
        <v>45979</v>
      </c>
      <c r="X491" s="9" t="str">
        <f t="shared" ca="1" si="73"/>
        <v>18112025</v>
      </c>
      <c r="Y491" s="9" t="b">
        <f t="shared" ca="1" si="74"/>
        <v>0</v>
      </c>
      <c r="Z491" s="9" t="str">
        <f ca="1">IF(Y491,COUNTIF($Y$2:$Y491,TRUE),"")</f>
        <v/>
      </c>
      <c r="AA491" s="9" t="str">
        <f t="shared" ca="1" si="75"/>
        <v/>
      </c>
      <c r="AB491" s="9" t="str">
        <f t="shared" ca="1" si="76"/>
        <v/>
      </c>
      <c r="AC491" s="9" t="str">
        <f t="shared" ca="1" si="77"/>
        <v/>
      </c>
      <c r="AD491" s="9" t="str">
        <f t="shared" ca="1" si="78"/>
        <v/>
      </c>
      <c r="AE491" s="9" t="str">
        <f t="shared" ca="1" si="79"/>
        <v/>
      </c>
      <c r="AF491" s="9" t="str">
        <f ca="1">IF(AND(Y491,AA491="ERREUR"),COUNTIF($AA$2:$AA491,"ERREUR"),"")</f>
        <v/>
      </c>
    </row>
    <row r="492" spans="23:32" ht="25" customHeight="1">
      <c r="W492" s="19">
        <f t="shared" ca="1" si="72"/>
        <v>45978</v>
      </c>
      <c r="X492" s="9" t="str">
        <f t="shared" ca="1" si="73"/>
        <v>17112025</v>
      </c>
      <c r="Y492" s="9" t="b">
        <f t="shared" ca="1" si="74"/>
        <v>0</v>
      </c>
      <c r="Z492" s="9" t="str">
        <f ca="1">IF(Y492,COUNTIF($Y$2:$Y492,TRUE),"")</f>
        <v/>
      </c>
      <c r="AA492" s="9" t="str">
        <f t="shared" ca="1" si="75"/>
        <v/>
      </c>
      <c r="AB492" s="9" t="str">
        <f t="shared" ca="1" si="76"/>
        <v/>
      </c>
      <c r="AC492" s="9" t="str">
        <f t="shared" ca="1" si="77"/>
        <v/>
      </c>
      <c r="AD492" s="9" t="str">
        <f t="shared" ca="1" si="78"/>
        <v/>
      </c>
      <c r="AE492" s="9" t="str">
        <f t="shared" ca="1" si="79"/>
        <v/>
      </c>
      <c r="AF492" s="9" t="str">
        <f ca="1">IF(AND(Y492,AA492="ERREUR"),COUNTIF($AA$2:$AA492,"ERREUR"),"")</f>
        <v/>
      </c>
    </row>
    <row r="493" spans="23:32" ht="25" customHeight="1">
      <c r="W493" s="19">
        <f t="shared" ca="1" si="72"/>
        <v>45977</v>
      </c>
      <c r="X493" s="9" t="str">
        <f t="shared" ca="1" si="73"/>
        <v>16112025</v>
      </c>
      <c r="Y493" s="9" t="b">
        <f t="shared" ca="1" si="74"/>
        <v>0</v>
      </c>
      <c r="Z493" s="9" t="str">
        <f ca="1">IF(Y493,COUNTIF($Y$2:$Y493,TRUE),"")</f>
        <v/>
      </c>
      <c r="AA493" s="9" t="str">
        <f t="shared" ca="1" si="75"/>
        <v/>
      </c>
      <c r="AB493" s="9" t="str">
        <f t="shared" ca="1" si="76"/>
        <v/>
      </c>
      <c r="AC493" s="9" t="str">
        <f t="shared" ca="1" si="77"/>
        <v/>
      </c>
      <c r="AD493" s="9" t="str">
        <f t="shared" ca="1" si="78"/>
        <v/>
      </c>
      <c r="AE493" s="9" t="str">
        <f t="shared" ca="1" si="79"/>
        <v/>
      </c>
      <c r="AF493" s="9" t="str">
        <f ca="1">IF(AND(Y493,AA493="ERREUR"),COUNTIF($AA$2:$AA493,"ERREUR"),"")</f>
        <v/>
      </c>
    </row>
    <row r="494" spans="23:32" ht="25" customHeight="1">
      <c r="W494" s="19">
        <f t="shared" ca="1" si="72"/>
        <v>45976</v>
      </c>
      <c r="X494" s="9" t="str">
        <f t="shared" ca="1" si="73"/>
        <v>15112025</v>
      </c>
      <c r="Y494" s="9" t="b">
        <f t="shared" ca="1" si="74"/>
        <v>0</v>
      </c>
      <c r="Z494" s="9" t="str">
        <f ca="1">IF(Y494,COUNTIF($Y$2:$Y494,TRUE),"")</f>
        <v/>
      </c>
      <c r="AA494" s="9" t="str">
        <f t="shared" ca="1" si="75"/>
        <v/>
      </c>
      <c r="AB494" s="9" t="str">
        <f t="shared" ca="1" si="76"/>
        <v/>
      </c>
      <c r="AC494" s="9" t="str">
        <f t="shared" ca="1" si="77"/>
        <v/>
      </c>
      <c r="AD494" s="9" t="str">
        <f t="shared" ca="1" si="78"/>
        <v/>
      </c>
      <c r="AE494" s="9" t="str">
        <f t="shared" ca="1" si="79"/>
        <v/>
      </c>
      <c r="AF494" s="9" t="str">
        <f ca="1">IF(AND(Y494,AA494="ERREUR"),COUNTIF($AA$2:$AA494,"ERREUR"),"")</f>
        <v/>
      </c>
    </row>
    <row r="495" spans="23:32" ht="25" customHeight="1">
      <c r="W495" s="19">
        <f t="shared" ca="1" si="72"/>
        <v>45975</v>
      </c>
      <c r="X495" s="9" t="str">
        <f t="shared" ca="1" si="73"/>
        <v>14112025</v>
      </c>
      <c r="Y495" s="9" t="b">
        <f t="shared" ca="1" si="74"/>
        <v>0</v>
      </c>
      <c r="Z495" s="9" t="str">
        <f ca="1">IF(Y495,COUNTIF($Y$2:$Y495,TRUE),"")</f>
        <v/>
      </c>
      <c r="AA495" s="9" t="str">
        <f t="shared" ca="1" si="75"/>
        <v/>
      </c>
      <c r="AB495" s="9" t="str">
        <f t="shared" ca="1" si="76"/>
        <v/>
      </c>
      <c r="AC495" s="9" t="str">
        <f t="shared" ca="1" si="77"/>
        <v/>
      </c>
      <c r="AD495" s="9" t="str">
        <f t="shared" ca="1" si="78"/>
        <v/>
      </c>
      <c r="AE495" s="9" t="str">
        <f t="shared" ca="1" si="79"/>
        <v/>
      </c>
      <c r="AF495" s="9" t="str">
        <f ca="1">IF(AND(Y495,AA495="ERREUR"),COUNTIF($AA$2:$AA495,"ERREUR"),"")</f>
        <v/>
      </c>
    </row>
    <row r="496" spans="23:32" ht="25" customHeight="1">
      <c r="W496" s="19">
        <f t="shared" ca="1" si="72"/>
        <v>45974</v>
      </c>
      <c r="X496" s="9" t="str">
        <f t="shared" ca="1" si="73"/>
        <v>13112025</v>
      </c>
      <c r="Y496" s="9" t="b">
        <f t="shared" ca="1" si="74"/>
        <v>0</v>
      </c>
      <c r="Z496" s="9" t="str">
        <f ca="1">IF(Y496,COUNTIF($Y$2:$Y496,TRUE),"")</f>
        <v/>
      </c>
      <c r="AA496" s="9" t="str">
        <f t="shared" ca="1" si="75"/>
        <v/>
      </c>
      <c r="AB496" s="9" t="str">
        <f t="shared" ca="1" si="76"/>
        <v/>
      </c>
      <c r="AC496" s="9" t="str">
        <f t="shared" ca="1" si="77"/>
        <v/>
      </c>
      <c r="AD496" s="9" t="str">
        <f t="shared" ca="1" si="78"/>
        <v/>
      </c>
      <c r="AE496" s="9" t="str">
        <f t="shared" ca="1" si="79"/>
        <v/>
      </c>
      <c r="AF496" s="9" t="str">
        <f ca="1">IF(AND(Y496,AA496="ERREUR"),COUNTIF($AA$2:$AA496,"ERREUR"),"")</f>
        <v/>
      </c>
    </row>
    <row r="497" spans="23:32" ht="25" customHeight="1">
      <c r="W497" s="19">
        <f t="shared" ca="1" si="72"/>
        <v>45973</v>
      </c>
      <c r="X497" s="9" t="str">
        <f t="shared" ca="1" si="73"/>
        <v>12112025</v>
      </c>
      <c r="Y497" s="9" t="b">
        <f t="shared" ca="1" si="74"/>
        <v>0</v>
      </c>
      <c r="Z497" s="9" t="str">
        <f ca="1">IF(Y497,COUNTIF($Y$2:$Y497,TRUE),"")</f>
        <v/>
      </c>
      <c r="AA497" s="9" t="str">
        <f t="shared" ca="1" si="75"/>
        <v/>
      </c>
      <c r="AB497" s="9" t="str">
        <f t="shared" ca="1" si="76"/>
        <v/>
      </c>
      <c r="AC497" s="9" t="str">
        <f t="shared" ca="1" si="77"/>
        <v/>
      </c>
      <c r="AD497" s="9" t="str">
        <f t="shared" ca="1" si="78"/>
        <v/>
      </c>
      <c r="AE497" s="9" t="str">
        <f t="shared" ca="1" si="79"/>
        <v/>
      </c>
      <c r="AF497" s="9" t="str">
        <f ca="1">IF(AND(Y497,AA497="ERREUR"),COUNTIF($AA$2:$AA497,"ERREUR"),"")</f>
        <v/>
      </c>
    </row>
    <row r="498" spans="23:32" ht="25" customHeight="1">
      <c r="W498" s="19">
        <f t="shared" ca="1" si="72"/>
        <v>45972</v>
      </c>
      <c r="X498" s="9" t="str">
        <f t="shared" ca="1" si="73"/>
        <v>11112025</v>
      </c>
      <c r="Y498" s="9" t="b">
        <f t="shared" ca="1" si="74"/>
        <v>0</v>
      </c>
      <c r="Z498" s="9" t="str">
        <f ca="1">IF(Y498,COUNTIF($Y$2:$Y498,TRUE),"")</f>
        <v/>
      </c>
      <c r="AA498" s="9" t="str">
        <f t="shared" ca="1" si="75"/>
        <v/>
      </c>
      <c r="AB498" s="9" t="str">
        <f t="shared" ca="1" si="76"/>
        <v/>
      </c>
      <c r="AC498" s="9" t="str">
        <f t="shared" ca="1" si="77"/>
        <v/>
      </c>
      <c r="AD498" s="9" t="str">
        <f t="shared" ca="1" si="78"/>
        <v/>
      </c>
      <c r="AE498" s="9" t="str">
        <f t="shared" ca="1" si="79"/>
        <v/>
      </c>
      <c r="AF498" s="9" t="str">
        <f ca="1">IF(AND(Y498,AA498="ERREUR"),COUNTIF($AA$2:$AA498,"ERREUR"),"")</f>
        <v/>
      </c>
    </row>
    <row r="499" spans="23:32" ht="25" customHeight="1">
      <c r="W499" s="19">
        <f t="shared" ca="1" si="72"/>
        <v>45971</v>
      </c>
      <c r="X499" s="9" t="str">
        <f t="shared" ca="1" si="73"/>
        <v>10112025</v>
      </c>
      <c r="Y499" s="9" t="b">
        <f t="shared" ca="1" si="74"/>
        <v>0</v>
      </c>
      <c r="Z499" s="9" t="str">
        <f ca="1">IF(Y499,COUNTIF($Y$2:$Y499,TRUE),"")</f>
        <v/>
      </c>
      <c r="AA499" s="9" t="str">
        <f t="shared" ca="1" si="75"/>
        <v/>
      </c>
      <c r="AB499" s="9" t="str">
        <f t="shared" ca="1" si="76"/>
        <v/>
      </c>
      <c r="AC499" s="9" t="str">
        <f t="shared" ca="1" si="77"/>
        <v/>
      </c>
      <c r="AD499" s="9" t="str">
        <f t="shared" ca="1" si="78"/>
        <v/>
      </c>
      <c r="AE499" s="9" t="str">
        <f t="shared" ca="1" si="79"/>
        <v/>
      </c>
      <c r="AF499" s="9" t="str">
        <f ca="1">IF(AND(Y499,AA499="ERREUR"),COUNTIF($AA$2:$AA499,"ERREUR"),"")</f>
        <v/>
      </c>
    </row>
    <row r="500" spans="23:32" ht="25" customHeight="1">
      <c r="W500" s="19">
        <f t="shared" ca="1" si="72"/>
        <v>45970</v>
      </c>
      <c r="X500" s="9" t="str">
        <f t="shared" ca="1" si="73"/>
        <v>09112025</v>
      </c>
      <c r="Y500" s="9" t="b">
        <f t="shared" ca="1" si="74"/>
        <v>0</v>
      </c>
      <c r="Z500" s="9" t="str">
        <f ca="1">IF(Y500,COUNTIF($Y$2:$Y500,TRUE),"")</f>
        <v/>
      </c>
      <c r="AA500" s="9" t="str">
        <f t="shared" ca="1" si="75"/>
        <v/>
      </c>
      <c r="AB500" s="9" t="str">
        <f t="shared" ca="1" si="76"/>
        <v/>
      </c>
      <c r="AC500" s="9" t="str">
        <f t="shared" ca="1" si="77"/>
        <v/>
      </c>
      <c r="AD500" s="9" t="str">
        <f t="shared" ca="1" si="78"/>
        <v/>
      </c>
      <c r="AE500" s="9" t="str">
        <f t="shared" ca="1" si="79"/>
        <v/>
      </c>
      <c r="AF500" s="9" t="str">
        <f ca="1">IF(AND(Y500,AA500="ERREUR"),COUNTIF($AA$2:$AA500,"ERREUR"),"")</f>
        <v/>
      </c>
    </row>
    <row r="501" spans="23:32" ht="25" customHeight="1">
      <c r="W501" s="19">
        <f t="shared" ca="1" si="72"/>
        <v>45969</v>
      </c>
      <c r="X501" s="9" t="str">
        <f t="shared" ca="1" si="73"/>
        <v>08112025</v>
      </c>
      <c r="Y501" s="9" t="b">
        <f t="shared" ca="1" si="74"/>
        <v>0</v>
      </c>
      <c r="Z501" s="9" t="str">
        <f ca="1">IF(Y501,COUNTIF($Y$2:$Y501,TRUE),"")</f>
        <v/>
      </c>
      <c r="AA501" s="9" t="str">
        <f t="shared" ca="1" si="75"/>
        <v/>
      </c>
      <c r="AB501" s="9" t="str">
        <f t="shared" ca="1" si="76"/>
        <v/>
      </c>
      <c r="AC501" s="9" t="str">
        <f t="shared" ca="1" si="77"/>
        <v/>
      </c>
      <c r="AD501" s="9" t="str">
        <f t="shared" ca="1" si="78"/>
        <v/>
      </c>
      <c r="AE501" s="9" t="str">
        <f t="shared" ca="1" si="79"/>
        <v/>
      </c>
      <c r="AF501" s="9" t="str">
        <f ca="1">IF(AND(Y501,AA501="ERREUR"),COUNTIF($AA$2:$AA501,"ERREUR"),"")</f>
        <v/>
      </c>
    </row>
    <row r="502" spans="23:32" ht="25" customHeight="1">
      <c r="W502" s="19">
        <f t="shared" ca="1" si="72"/>
        <v>45968</v>
      </c>
      <c r="X502" s="9" t="str">
        <f t="shared" ca="1" si="73"/>
        <v>07112025</v>
      </c>
      <c r="Y502" s="9" t="b">
        <f t="shared" ca="1" si="74"/>
        <v>0</v>
      </c>
      <c r="Z502" s="9" t="str">
        <f ca="1">IF(Y502,COUNTIF($Y$2:$Y502,TRUE),"")</f>
        <v/>
      </c>
      <c r="AA502" s="9" t="str">
        <f t="shared" ca="1" si="75"/>
        <v/>
      </c>
      <c r="AB502" s="9" t="str">
        <f t="shared" ca="1" si="76"/>
        <v/>
      </c>
      <c r="AC502" s="9" t="str">
        <f t="shared" ca="1" si="77"/>
        <v/>
      </c>
      <c r="AD502" s="9" t="str">
        <f t="shared" ca="1" si="78"/>
        <v/>
      </c>
      <c r="AE502" s="9" t="str">
        <f t="shared" ca="1" si="79"/>
        <v/>
      </c>
      <c r="AF502" s="9" t="str">
        <f ca="1">IF(AND(Y502,AA502="ERREUR"),COUNTIF($AA$2:$AA502,"ERREUR"),"")</f>
        <v/>
      </c>
    </row>
    <row r="503" spans="23:32" ht="25" customHeight="1">
      <c r="W503" s="19">
        <f t="shared" ca="1" si="72"/>
        <v>45967</v>
      </c>
      <c r="X503" s="9" t="str">
        <f t="shared" ca="1" si="73"/>
        <v>06112025</v>
      </c>
      <c r="Y503" s="9" t="b">
        <f t="shared" ca="1" si="74"/>
        <v>0</v>
      </c>
      <c r="Z503" s="9" t="str">
        <f ca="1">IF(Y503,COUNTIF($Y$2:$Y503,TRUE),"")</f>
        <v/>
      </c>
      <c r="AA503" s="9" t="str">
        <f t="shared" ca="1" si="75"/>
        <v/>
      </c>
      <c r="AB503" s="9" t="str">
        <f t="shared" ca="1" si="76"/>
        <v/>
      </c>
      <c r="AC503" s="9" t="str">
        <f t="shared" ca="1" si="77"/>
        <v/>
      </c>
      <c r="AD503" s="9" t="str">
        <f t="shared" ca="1" si="78"/>
        <v/>
      </c>
      <c r="AE503" s="9" t="str">
        <f t="shared" ca="1" si="79"/>
        <v/>
      </c>
      <c r="AF503" s="9" t="str">
        <f ca="1">IF(AND(Y503,AA503="ERREUR"),COUNTIF($AA$2:$AA503,"ERREUR"),"")</f>
        <v/>
      </c>
    </row>
    <row r="504" spans="23:32" ht="25" customHeight="1">
      <c r="W504" s="19">
        <f t="shared" ca="1" si="72"/>
        <v>45966</v>
      </c>
      <c r="X504" s="9" t="str">
        <f t="shared" ca="1" si="73"/>
        <v>05112025</v>
      </c>
      <c r="Y504" s="9" t="b">
        <f t="shared" ca="1" si="74"/>
        <v>0</v>
      </c>
      <c r="Z504" s="9" t="str">
        <f ca="1">IF(Y504,COUNTIF($Y$2:$Y504,TRUE),"")</f>
        <v/>
      </c>
      <c r="AA504" s="9" t="str">
        <f t="shared" ca="1" si="75"/>
        <v/>
      </c>
      <c r="AB504" s="9" t="str">
        <f t="shared" ca="1" si="76"/>
        <v/>
      </c>
      <c r="AC504" s="9" t="str">
        <f t="shared" ca="1" si="77"/>
        <v/>
      </c>
      <c r="AD504" s="9" t="str">
        <f t="shared" ca="1" si="78"/>
        <v/>
      </c>
      <c r="AE504" s="9" t="str">
        <f t="shared" ca="1" si="79"/>
        <v/>
      </c>
      <c r="AF504" s="9" t="str">
        <f ca="1">IF(AND(Y504,AA504="ERREUR"),COUNTIF($AA$2:$AA504,"ERREUR"),"")</f>
        <v/>
      </c>
    </row>
    <row r="505" spans="23:32" ht="25" customHeight="1">
      <c r="W505" s="19">
        <f t="shared" ca="1" si="72"/>
        <v>45965</v>
      </c>
      <c r="X505" s="9" t="str">
        <f t="shared" ca="1" si="73"/>
        <v>04112025</v>
      </c>
      <c r="Y505" s="9" t="b">
        <f t="shared" ca="1" si="74"/>
        <v>0</v>
      </c>
      <c r="Z505" s="9" t="str">
        <f ca="1">IF(Y505,COUNTIF($Y$2:$Y505,TRUE),"")</f>
        <v/>
      </c>
      <c r="AA505" s="9" t="str">
        <f t="shared" ca="1" si="75"/>
        <v/>
      </c>
      <c r="AB505" s="9" t="str">
        <f t="shared" ca="1" si="76"/>
        <v/>
      </c>
      <c r="AC505" s="9" t="str">
        <f t="shared" ca="1" si="77"/>
        <v/>
      </c>
      <c r="AD505" s="9" t="str">
        <f t="shared" ca="1" si="78"/>
        <v/>
      </c>
      <c r="AE505" s="9" t="str">
        <f t="shared" ca="1" si="79"/>
        <v/>
      </c>
      <c r="AF505" s="9" t="str">
        <f ca="1">IF(AND(Y505,AA505="ERREUR"),COUNTIF($AA$2:$AA505,"ERREUR"),"")</f>
        <v/>
      </c>
    </row>
    <row r="506" spans="23:32" ht="25" customHeight="1">
      <c r="W506" s="19">
        <f t="shared" ca="1" si="72"/>
        <v>45964</v>
      </c>
      <c r="X506" s="9" t="str">
        <f t="shared" ca="1" si="73"/>
        <v>03112025</v>
      </c>
      <c r="Y506" s="9" t="b">
        <f t="shared" ca="1" si="74"/>
        <v>0</v>
      </c>
      <c r="Z506" s="9" t="str">
        <f ca="1">IF(Y506,COUNTIF($Y$2:$Y506,TRUE),"")</f>
        <v/>
      </c>
      <c r="AA506" s="9" t="str">
        <f t="shared" ca="1" si="75"/>
        <v/>
      </c>
      <c r="AB506" s="9" t="str">
        <f t="shared" ca="1" si="76"/>
        <v/>
      </c>
      <c r="AC506" s="9" t="str">
        <f t="shared" ca="1" si="77"/>
        <v/>
      </c>
      <c r="AD506" s="9" t="str">
        <f t="shared" ca="1" si="78"/>
        <v/>
      </c>
      <c r="AE506" s="9" t="str">
        <f t="shared" ca="1" si="79"/>
        <v/>
      </c>
      <c r="AF506" s="9" t="str">
        <f ca="1">IF(AND(Y506,AA506="ERREUR"),COUNTIF($AA$2:$AA506,"ERREUR"),"")</f>
        <v/>
      </c>
    </row>
    <row r="507" spans="23:32" ht="25" customHeight="1">
      <c r="W507" s="19">
        <f t="shared" ca="1" si="72"/>
        <v>45963</v>
      </c>
      <c r="X507" s="9" t="str">
        <f t="shared" ca="1" si="73"/>
        <v>02112025</v>
      </c>
      <c r="Y507" s="9" t="b">
        <f t="shared" ca="1" si="74"/>
        <v>0</v>
      </c>
      <c r="Z507" s="9" t="str">
        <f ca="1">IF(Y507,COUNTIF($Y$2:$Y507,TRUE),"")</f>
        <v/>
      </c>
      <c r="AA507" s="9" t="str">
        <f t="shared" ca="1" si="75"/>
        <v/>
      </c>
      <c r="AB507" s="9" t="str">
        <f t="shared" ca="1" si="76"/>
        <v/>
      </c>
      <c r="AC507" s="9" t="str">
        <f t="shared" ca="1" si="77"/>
        <v/>
      </c>
      <c r="AD507" s="9" t="str">
        <f t="shared" ca="1" si="78"/>
        <v/>
      </c>
      <c r="AE507" s="9" t="str">
        <f t="shared" ca="1" si="79"/>
        <v/>
      </c>
      <c r="AF507" s="9" t="str">
        <f ca="1">IF(AND(Y507,AA507="ERREUR"),COUNTIF($AA$2:$AA507,"ERREUR"),"")</f>
        <v/>
      </c>
    </row>
    <row r="508" spans="23:32" ht="25" customHeight="1">
      <c r="W508" s="19">
        <f t="shared" ca="1" si="72"/>
        <v>45962</v>
      </c>
      <c r="X508" s="9" t="str">
        <f t="shared" ca="1" si="73"/>
        <v>01112025</v>
      </c>
      <c r="Y508" s="9" t="b">
        <f t="shared" ca="1" si="74"/>
        <v>0</v>
      </c>
      <c r="Z508" s="9" t="str">
        <f ca="1">IF(Y508,COUNTIF($Y$2:$Y508,TRUE),"")</f>
        <v/>
      </c>
      <c r="AA508" s="9" t="str">
        <f t="shared" ca="1" si="75"/>
        <v/>
      </c>
      <c r="AB508" s="9" t="str">
        <f t="shared" ca="1" si="76"/>
        <v/>
      </c>
      <c r="AC508" s="9" t="str">
        <f t="shared" ca="1" si="77"/>
        <v/>
      </c>
      <c r="AD508" s="9" t="str">
        <f t="shared" ca="1" si="78"/>
        <v/>
      </c>
      <c r="AE508" s="9" t="str">
        <f t="shared" ca="1" si="79"/>
        <v/>
      </c>
      <c r="AF508" s="9" t="str">
        <f ca="1">IF(AND(Y508,AA508="ERREUR"),COUNTIF($AA$2:$AA508,"ERREUR"),"")</f>
        <v/>
      </c>
    </row>
    <row r="509" spans="23:32" ht="25" customHeight="1">
      <c r="W509" s="19">
        <f t="shared" ca="1" si="72"/>
        <v>45961</v>
      </c>
      <c r="X509" s="9" t="str">
        <f t="shared" ca="1" si="73"/>
        <v>31102025</v>
      </c>
      <c r="Y509" s="9" t="b">
        <f t="shared" ca="1" si="74"/>
        <v>0</v>
      </c>
      <c r="Z509" s="9" t="str">
        <f ca="1">IF(Y509,COUNTIF($Y$2:$Y509,TRUE),"")</f>
        <v/>
      </c>
      <c r="AA509" s="9" t="str">
        <f t="shared" ca="1" si="75"/>
        <v/>
      </c>
      <c r="AB509" s="9" t="str">
        <f t="shared" ca="1" si="76"/>
        <v/>
      </c>
      <c r="AC509" s="9" t="str">
        <f t="shared" ca="1" si="77"/>
        <v/>
      </c>
      <c r="AD509" s="9" t="str">
        <f t="shared" ca="1" si="78"/>
        <v/>
      </c>
      <c r="AE509" s="9" t="str">
        <f t="shared" ca="1" si="79"/>
        <v/>
      </c>
      <c r="AF509" s="9" t="str">
        <f ca="1">IF(AND(Y509,AA509="ERREUR"),COUNTIF($AA$2:$AA509,"ERREUR"),"")</f>
        <v/>
      </c>
    </row>
    <row r="510" spans="23:32" ht="25" customHeight="1">
      <c r="W510" s="19">
        <f t="shared" ca="1" si="72"/>
        <v>45960</v>
      </c>
      <c r="X510" s="9" t="str">
        <f t="shared" ca="1" si="73"/>
        <v>30102025</v>
      </c>
      <c r="Y510" s="9" t="b">
        <f t="shared" ca="1" si="74"/>
        <v>0</v>
      </c>
      <c r="Z510" s="9" t="str">
        <f ca="1">IF(Y510,COUNTIF($Y$2:$Y510,TRUE),"")</f>
        <v/>
      </c>
      <c r="AA510" s="9" t="str">
        <f t="shared" ca="1" si="75"/>
        <v/>
      </c>
      <c r="AB510" s="9" t="str">
        <f t="shared" ca="1" si="76"/>
        <v/>
      </c>
      <c r="AC510" s="9" t="str">
        <f t="shared" ca="1" si="77"/>
        <v/>
      </c>
      <c r="AD510" s="9" t="str">
        <f t="shared" ca="1" si="78"/>
        <v/>
      </c>
      <c r="AE510" s="9" t="str">
        <f t="shared" ca="1" si="79"/>
        <v/>
      </c>
      <c r="AF510" s="9" t="str">
        <f ca="1">IF(AND(Y510,AA510="ERREUR"),COUNTIF($AA$2:$AA510,"ERREUR"),"")</f>
        <v/>
      </c>
    </row>
    <row r="511" spans="23:32" ht="25" customHeight="1">
      <c r="W511" s="19">
        <f t="shared" ca="1" si="72"/>
        <v>45959</v>
      </c>
      <c r="X511" s="9" t="str">
        <f t="shared" ca="1" si="73"/>
        <v>29102025</v>
      </c>
      <c r="Y511" s="9" t="b">
        <f t="shared" ca="1" si="74"/>
        <v>0</v>
      </c>
      <c r="Z511" s="9" t="str">
        <f ca="1">IF(Y511,COUNTIF($Y$2:$Y511,TRUE),"")</f>
        <v/>
      </c>
      <c r="AA511" s="9" t="str">
        <f t="shared" ca="1" si="75"/>
        <v/>
      </c>
      <c r="AB511" s="9" t="str">
        <f t="shared" ca="1" si="76"/>
        <v/>
      </c>
      <c r="AC511" s="9" t="str">
        <f t="shared" ca="1" si="77"/>
        <v/>
      </c>
      <c r="AD511" s="9" t="str">
        <f t="shared" ca="1" si="78"/>
        <v/>
      </c>
      <c r="AE511" s="9" t="str">
        <f t="shared" ca="1" si="79"/>
        <v/>
      </c>
      <c r="AF511" s="9" t="str">
        <f ca="1">IF(AND(Y511,AA511="ERREUR"),COUNTIF($AA$2:$AA511,"ERREUR"),"")</f>
        <v/>
      </c>
    </row>
    <row r="512" spans="23:32" ht="25" customHeight="1">
      <c r="W512" s="19">
        <f t="shared" ca="1" si="72"/>
        <v>45958</v>
      </c>
      <c r="X512" s="9" t="str">
        <f t="shared" ca="1" si="73"/>
        <v>28102025</v>
      </c>
      <c r="Y512" s="9" t="b">
        <f t="shared" ca="1" si="74"/>
        <v>0</v>
      </c>
      <c r="Z512" s="9" t="str">
        <f ca="1">IF(Y512,COUNTIF($Y$2:$Y512,TRUE),"")</f>
        <v/>
      </c>
      <c r="AA512" s="9" t="str">
        <f t="shared" ca="1" si="75"/>
        <v/>
      </c>
      <c r="AB512" s="9" t="str">
        <f t="shared" ca="1" si="76"/>
        <v/>
      </c>
      <c r="AC512" s="9" t="str">
        <f t="shared" ca="1" si="77"/>
        <v/>
      </c>
      <c r="AD512" s="9" t="str">
        <f t="shared" ca="1" si="78"/>
        <v/>
      </c>
      <c r="AE512" s="9" t="str">
        <f t="shared" ca="1" si="79"/>
        <v/>
      </c>
      <c r="AF512" s="9" t="str">
        <f ca="1">IF(AND(Y512,AA512="ERREUR"),COUNTIF($AA$2:$AA512,"ERREUR"),"")</f>
        <v/>
      </c>
    </row>
    <row r="513" spans="23:32" ht="25" customHeight="1">
      <c r="W513" s="19">
        <f t="shared" ca="1" si="72"/>
        <v>45957</v>
      </c>
      <c r="X513" s="9" t="str">
        <f t="shared" ca="1" si="73"/>
        <v>27102025</v>
      </c>
      <c r="Y513" s="9" t="b">
        <f t="shared" ca="1" si="74"/>
        <v>0</v>
      </c>
      <c r="Z513" s="9" t="str">
        <f ca="1">IF(Y513,COUNTIF($Y$2:$Y513,TRUE),"")</f>
        <v/>
      </c>
      <c r="AA513" s="9" t="str">
        <f t="shared" ca="1" si="75"/>
        <v/>
      </c>
      <c r="AB513" s="9" t="str">
        <f t="shared" ca="1" si="76"/>
        <v/>
      </c>
      <c r="AC513" s="9" t="str">
        <f t="shared" ca="1" si="77"/>
        <v/>
      </c>
      <c r="AD513" s="9" t="str">
        <f t="shared" ca="1" si="78"/>
        <v/>
      </c>
      <c r="AE513" s="9" t="str">
        <f t="shared" ca="1" si="79"/>
        <v/>
      </c>
      <c r="AF513" s="9" t="str">
        <f ca="1">IF(AND(Y513,AA513="ERREUR"),COUNTIF($AA$2:$AA513,"ERREUR"),"")</f>
        <v/>
      </c>
    </row>
    <row r="514" spans="23:32" ht="25" customHeight="1">
      <c r="W514" s="19">
        <f t="shared" ref="W514:W577" ca="1" si="80">TODAY()+365-ROW()+2</f>
        <v>45956</v>
      </c>
      <c r="X514" s="9" t="str">
        <f t="shared" ref="X514:X577" ca="1" si="81">RIGHT("0"&amp;DAY(W514),2)&amp;RIGHT("0"&amp;MONTH(W514),2)&amp;YEAR(W514)</f>
        <v>26102025</v>
      </c>
      <c r="Y514" s="9" t="b">
        <f t="shared" ref="Y514:Y577" ca="1" si="82">IFERROR(INDIRECT(CHAR(39)&amp;X514&amp;CHAR(39)&amp;"!C3")="DATE DE CAISSE",FALSE)</f>
        <v>0</v>
      </c>
      <c r="Z514" s="9" t="str">
        <f ca="1">IF(Y514,COUNTIF($Y$2:$Y514,TRUE),"")</f>
        <v/>
      </c>
      <c r="AA514" s="9" t="str">
        <f t="shared" ref="AA514:AA577" ca="1" si="83">IF($Y514,IFERROR(IF(INDIRECT(CHAR(39)&amp;$X514&amp;CHAR(39)&amp;"!P3")="VIDE","NON SAISIE",INDIRECT(CHAR(39)&amp;$X514&amp;CHAR(39)&amp;"!P3")),""),"")</f>
        <v/>
      </c>
      <c r="AB514" s="9" t="str">
        <f t="shared" ref="AB514:AB577" ca="1" si="84">IF($Y514,IFERROR(INDIRECT(CHAR(39)&amp;$X514&amp;CHAR(39)&amp;"!M59"),""),"")</f>
        <v/>
      </c>
      <c r="AC514" s="9" t="str">
        <f t="shared" ref="AC514:AC577" ca="1" si="85">IF(Y514,IFERROR(INDIRECT(CHAR(39)&amp;X514&amp;CHAR(39)&amp;"!M3"),""),"")</f>
        <v/>
      </c>
      <c r="AD514" s="9" t="str">
        <f t="shared" ref="AD514:AD577" ca="1" si="86">IF(Y514,IFERROR(INDIRECT(CHAR(39)&amp;X514&amp;CHAR(39)&amp;"!M60"),""),"")</f>
        <v/>
      </c>
      <c r="AE514" s="9" t="str">
        <f t="shared" ref="AE514:AE577" ca="1" si="87">IF($Y514,IF($AA514="OK","RAS",IF($AA514="NON SAISIE","Non saisie",IF($AC514&lt;&gt;0,"Ecart de saisie",IF($AD514&lt;&gt;0,"Ecart de caisse",IF(IFERROR(COUNTIF(INDIRECT(CHAR(39)&amp;$X514&amp;CHAR(39)&amp;"!M11:M40"),"ERREUR"),0)&gt;0,"Lignes facture",IF(IFERROR(COUNTIF(INDIRECT(CHAR(39)&amp;$X514&amp;CHAR(39)&amp;"!N47:N50"),"&lt;&gt;OK"),0)&gt;0,"Controle banque","A verifier")))))),"")</f>
        <v/>
      </c>
      <c r="AF514" s="9" t="str">
        <f ca="1">IF(AND(Y514,AA514="ERREUR"),COUNTIF($AA$2:$AA514,"ERREUR"),"")</f>
        <v/>
      </c>
    </row>
    <row r="515" spans="23:32" ht="25" customHeight="1">
      <c r="W515" s="19">
        <f t="shared" ca="1" si="80"/>
        <v>45955</v>
      </c>
      <c r="X515" s="9" t="str">
        <f t="shared" ca="1" si="81"/>
        <v>25102025</v>
      </c>
      <c r="Y515" s="9" t="b">
        <f t="shared" ca="1" si="82"/>
        <v>0</v>
      </c>
      <c r="Z515" s="9" t="str">
        <f ca="1">IF(Y515,COUNTIF($Y$2:$Y515,TRUE),"")</f>
        <v/>
      </c>
      <c r="AA515" s="9" t="str">
        <f t="shared" ca="1" si="83"/>
        <v/>
      </c>
      <c r="AB515" s="9" t="str">
        <f t="shared" ca="1" si="84"/>
        <v/>
      </c>
      <c r="AC515" s="9" t="str">
        <f t="shared" ca="1" si="85"/>
        <v/>
      </c>
      <c r="AD515" s="9" t="str">
        <f t="shared" ca="1" si="86"/>
        <v/>
      </c>
      <c r="AE515" s="9" t="str">
        <f t="shared" ca="1" si="87"/>
        <v/>
      </c>
      <c r="AF515" s="9" t="str">
        <f ca="1">IF(AND(Y515,AA515="ERREUR"),COUNTIF($AA$2:$AA515,"ERREUR"),"")</f>
        <v/>
      </c>
    </row>
    <row r="516" spans="23:32" ht="25" customHeight="1">
      <c r="W516" s="19">
        <f t="shared" ca="1" si="80"/>
        <v>45954</v>
      </c>
      <c r="X516" s="9" t="str">
        <f t="shared" ca="1" si="81"/>
        <v>24102025</v>
      </c>
      <c r="Y516" s="9" t="b">
        <f t="shared" ca="1" si="82"/>
        <v>0</v>
      </c>
      <c r="Z516" s="9" t="str">
        <f ca="1">IF(Y516,COUNTIF($Y$2:$Y516,TRUE),"")</f>
        <v/>
      </c>
      <c r="AA516" s="9" t="str">
        <f t="shared" ca="1" si="83"/>
        <v/>
      </c>
      <c r="AB516" s="9" t="str">
        <f t="shared" ca="1" si="84"/>
        <v/>
      </c>
      <c r="AC516" s="9" t="str">
        <f t="shared" ca="1" si="85"/>
        <v/>
      </c>
      <c r="AD516" s="9" t="str">
        <f t="shared" ca="1" si="86"/>
        <v/>
      </c>
      <c r="AE516" s="9" t="str">
        <f t="shared" ca="1" si="87"/>
        <v/>
      </c>
      <c r="AF516" s="9" t="str">
        <f ca="1">IF(AND(Y516,AA516="ERREUR"),COUNTIF($AA$2:$AA516,"ERREUR"),"")</f>
        <v/>
      </c>
    </row>
    <row r="517" spans="23:32" ht="25" customHeight="1">
      <c r="W517" s="19">
        <f t="shared" ca="1" si="80"/>
        <v>45953</v>
      </c>
      <c r="X517" s="9" t="str">
        <f t="shared" ca="1" si="81"/>
        <v>23102025</v>
      </c>
      <c r="Y517" s="9" t="b">
        <f t="shared" ca="1" si="82"/>
        <v>0</v>
      </c>
      <c r="Z517" s="9" t="str">
        <f ca="1">IF(Y517,COUNTIF($Y$2:$Y517,TRUE),"")</f>
        <v/>
      </c>
      <c r="AA517" s="9" t="str">
        <f t="shared" ca="1" si="83"/>
        <v/>
      </c>
      <c r="AB517" s="9" t="str">
        <f t="shared" ca="1" si="84"/>
        <v/>
      </c>
      <c r="AC517" s="9" t="str">
        <f t="shared" ca="1" si="85"/>
        <v/>
      </c>
      <c r="AD517" s="9" t="str">
        <f t="shared" ca="1" si="86"/>
        <v/>
      </c>
      <c r="AE517" s="9" t="str">
        <f t="shared" ca="1" si="87"/>
        <v/>
      </c>
      <c r="AF517" s="9" t="str">
        <f ca="1">IF(AND(Y517,AA517="ERREUR"),COUNTIF($AA$2:$AA517,"ERREUR"),"")</f>
        <v/>
      </c>
    </row>
    <row r="518" spans="23:32" ht="25" customHeight="1">
      <c r="W518" s="19">
        <f t="shared" ca="1" si="80"/>
        <v>45952</v>
      </c>
      <c r="X518" s="9" t="str">
        <f t="shared" ca="1" si="81"/>
        <v>22102025</v>
      </c>
      <c r="Y518" s="9" t="b">
        <f t="shared" ca="1" si="82"/>
        <v>0</v>
      </c>
      <c r="Z518" s="9" t="str">
        <f ca="1">IF(Y518,COUNTIF($Y$2:$Y518,TRUE),"")</f>
        <v/>
      </c>
      <c r="AA518" s="9" t="str">
        <f t="shared" ca="1" si="83"/>
        <v/>
      </c>
      <c r="AB518" s="9" t="str">
        <f t="shared" ca="1" si="84"/>
        <v/>
      </c>
      <c r="AC518" s="9" t="str">
        <f t="shared" ca="1" si="85"/>
        <v/>
      </c>
      <c r="AD518" s="9" t="str">
        <f t="shared" ca="1" si="86"/>
        <v/>
      </c>
      <c r="AE518" s="9" t="str">
        <f t="shared" ca="1" si="87"/>
        <v/>
      </c>
      <c r="AF518" s="9" t="str">
        <f ca="1">IF(AND(Y518,AA518="ERREUR"),COUNTIF($AA$2:$AA518,"ERREUR"),"")</f>
        <v/>
      </c>
    </row>
    <row r="519" spans="23:32" ht="25" customHeight="1">
      <c r="W519" s="19">
        <f t="shared" ca="1" si="80"/>
        <v>45951</v>
      </c>
      <c r="X519" s="9" t="str">
        <f t="shared" ca="1" si="81"/>
        <v>21102025</v>
      </c>
      <c r="Y519" s="9" t="b">
        <f t="shared" ca="1" si="82"/>
        <v>0</v>
      </c>
      <c r="Z519" s="9" t="str">
        <f ca="1">IF(Y519,COUNTIF($Y$2:$Y519,TRUE),"")</f>
        <v/>
      </c>
      <c r="AA519" s="9" t="str">
        <f t="shared" ca="1" si="83"/>
        <v/>
      </c>
      <c r="AB519" s="9" t="str">
        <f t="shared" ca="1" si="84"/>
        <v/>
      </c>
      <c r="AC519" s="9" t="str">
        <f t="shared" ca="1" si="85"/>
        <v/>
      </c>
      <c r="AD519" s="9" t="str">
        <f t="shared" ca="1" si="86"/>
        <v/>
      </c>
      <c r="AE519" s="9" t="str">
        <f t="shared" ca="1" si="87"/>
        <v/>
      </c>
      <c r="AF519" s="9" t="str">
        <f ca="1">IF(AND(Y519,AA519="ERREUR"),COUNTIF($AA$2:$AA519,"ERREUR"),"")</f>
        <v/>
      </c>
    </row>
    <row r="520" spans="23:32" ht="25" customHeight="1">
      <c r="W520" s="19">
        <f t="shared" ca="1" si="80"/>
        <v>45950</v>
      </c>
      <c r="X520" s="9" t="str">
        <f t="shared" ca="1" si="81"/>
        <v>20102025</v>
      </c>
      <c r="Y520" s="9" t="b">
        <f t="shared" ca="1" si="82"/>
        <v>0</v>
      </c>
      <c r="Z520" s="9" t="str">
        <f ca="1">IF(Y520,COUNTIF($Y$2:$Y520,TRUE),"")</f>
        <v/>
      </c>
      <c r="AA520" s="9" t="str">
        <f t="shared" ca="1" si="83"/>
        <v/>
      </c>
      <c r="AB520" s="9" t="str">
        <f t="shared" ca="1" si="84"/>
        <v/>
      </c>
      <c r="AC520" s="9" t="str">
        <f t="shared" ca="1" si="85"/>
        <v/>
      </c>
      <c r="AD520" s="9" t="str">
        <f t="shared" ca="1" si="86"/>
        <v/>
      </c>
      <c r="AE520" s="9" t="str">
        <f t="shared" ca="1" si="87"/>
        <v/>
      </c>
      <c r="AF520" s="9" t="str">
        <f ca="1">IF(AND(Y520,AA520="ERREUR"),COUNTIF($AA$2:$AA520,"ERREUR"),"")</f>
        <v/>
      </c>
    </row>
    <row r="521" spans="23:32" ht="25" customHeight="1">
      <c r="W521" s="19">
        <f t="shared" ca="1" si="80"/>
        <v>45949</v>
      </c>
      <c r="X521" s="9" t="str">
        <f t="shared" ca="1" si="81"/>
        <v>19102025</v>
      </c>
      <c r="Y521" s="9" t="b">
        <f t="shared" ca="1" si="82"/>
        <v>0</v>
      </c>
      <c r="Z521" s="9" t="str">
        <f ca="1">IF(Y521,COUNTIF($Y$2:$Y521,TRUE),"")</f>
        <v/>
      </c>
      <c r="AA521" s="9" t="str">
        <f t="shared" ca="1" si="83"/>
        <v/>
      </c>
      <c r="AB521" s="9" t="str">
        <f t="shared" ca="1" si="84"/>
        <v/>
      </c>
      <c r="AC521" s="9" t="str">
        <f t="shared" ca="1" si="85"/>
        <v/>
      </c>
      <c r="AD521" s="9" t="str">
        <f t="shared" ca="1" si="86"/>
        <v/>
      </c>
      <c r="AE521" s="9" t="str">
        <f t="shared" ca="1" si="87"/>
        <v/>
      </c>
      <c r="AF521" s="9" t="str">
        <f ca="1">IF(AND(Y521,AA521="ERREUR"),COUNTIF($AA$2:$AA521,"ERREUR"),"")</f>
        <v/>
      </c>
    </row>
    <row r="522" spans="23:32" ht="25" customHeight="1">
      <c r="W522" s="19">
        <f t="shared" ca="1" si="80"/>
        <v>45948</v>
      </c>
      <c r="X522" s="9" t="str">
        <f t="shared" ca="1" si="81"/>
        <v>18102025</v>
      </c>
      <c r="Y522" s="9" t="b">
        <f t="shared" ca="1" si="82"/>
        <v>0</v>
      </c>
      <c r="Z522" s="9" t="str">
        <f ca="1">IF(Y522,COUNTIF($Y$2:$Y522,TRUE),"")</f>
        <v/>
      </c>
      <c r="AA522" s="9" t="str">
        <f t="shared" ca="1" si="83"/>
        <v/>
      </c>
      <c r="AB522" s="9" t="str">
        <f t="shared" ca="1" si="84"/>
        <v/>
      </c>
      <c r="AC522" s="9" t="str">
        <f t="shared" ca="1" si="85"/>
        <v/>
      </c>
      <c r="AD522" s="9" t="str">
        <f t="shared" ca="1" si="86"/>
        <v/>
      </c>
      <c r="AE522" s="9" t="str">
        <f t="shared" ca="1" si="87"/>
        <v/>
      </c>
      <c r="AF522" s="9" t="str">
        <f ca="1">IF(AND(Y522,AA522="ERREUR"),COUNTIF($AA$2:$AA522,"ERREUR"),"")</f>
        <v/>
      </c>
    </row>
    <row r="523" spans="23:32" ht="25" customHeight="1">
      <c r="W523" s="19">
        <f t="shared" ca="1" si="80"/>
        <v>45947</v>
      </c>
      <c r="X523" s="9" t="str">
        <f t="shared" ca="1" si="81"/>
        <v>17102025</v>
      </c>
      <c r="Y523" s="9" t="b">
        <f t="shared" ca="1" si="82"/>
        <v>0</v>
      </c>
      <c r="Z523" s="9" t="str">
        <f ca="1">IF(Y523,COUNTIF($Y$2:$Y523,TRUE),"")</f>
        <v/>
      </c>
      <c r="AA523" s="9" t="str">
        <f t="shared" ca="1" si="83"/>
        <v/>
      </c>
      <c r="AB523" s="9" t="str">
        <f t="shared" ca="1" si="84"/>
        <v/>
      </c>
      <c r="AC523" s="9" t="str">
        <f t="shared" ca="1" si="85"/>
        <v/>
      </c>
      <c r="AD523" s="9" t="str">
        <f t="shared" ca="1" si="86"/>
        <v/>
      </c>
      <c r="AE523" s="9" t="str">
        <f t="shared" ca="1" si="87"/>
        <v/>
      </c>
      <c r="AF523" s="9" t="str">
        <f ca="1">IF(AND(Y523,AA523="ERREUR"),COUNTIF($AA$2:$AA523,"ERREUR"),"")</f>
        <v/>
      </c>
    </row>
    <row r="524" spans="23:32" ht="25" customHeight="1">
      <c r="W524" s="19">
        <f t="shared" ca="1" si="80"/>
        <v>45946</v>
      </c>
      <c r="X524" s="9" t="str">
        <f t="shared" ca="1" si="81"/>
        <v>16102025</v>
      </c>
      <c r="Y524" s="9" t="b">
        <f t="shared" ca="1" si="82"/>
        <v>0</v>
      </c>
      <c r="Z524" s="9" t="str">
        <f ca="1">IF(Y524,COUNTIF($Y$2:$Y524,TRUE),"")</f>
        <v/>
      </c>
      <c r="AA524" s="9" t="str">
        <f t="shared" ca="1" si="83"/>
        <v/>
      </c>
      <c r="AB524" s="9" t="str">
        <f t="shared" ca="1" si="84"/>
        <v/>
      </c>
      <c r="AC524" s="9" t="str">
        <f t="shared" ca="1" si="85"/>
        <v/>
      </c>
      <c r="AD524" s="9" t="str">
        <f t="shared" ca="1" si="86"/>
        <v/>
      </c>
      <c r="AE524" s="9" t="str">
        <f t="shared" ca="1" si="87"/>
        <v/>
      </c>
      <c r="AF524" s="9" t="str">
        <f ca="1">IF(AND(Y524,AA524="ERREUR"),COUNTIF($AA$2:$AA524,"ERREUR"),"")</f>
        <v/>
      </c>
    </row>
    <row r="525" spans="23:32" ht="25" customHeight="1">
      <c r="W525" s="19">
        <f t="shared" ca="1" si="80"/>
        <v>45945</v>
      </c>
      <c r="X525" s="9" t="str">
        <f t="shared" ca="1" si="81"/>
        <v>15102025</v>
      </c>
      <c r="Y525" s="9" t="b">
        <f t="shared" ca="1" si="82"/>
        <v>0</v>
      </c>
      <c r="Z525" s="9" t="str">
        <f ca="1">IF(Y525,COUNTIF($Y$2:$Y525,TRUE),"")</f>
        <v/>
      </c>
      <c r="AA525" s="9" t="str">
        <f t="shared" ca="1" si="83"/>
        <v/>
      </c>
      <c r="AB525" s="9" t="str">
        <f t="shared" ca="1" si="84"/>
        <v/>
      </c>
      <c r="AC525" s="9" t="str">
        <f t="shared" ca="1" si="85"/>
        <v/>
      </c>
      <c r="AD525" s="9" t="str">
        <f t="shared" ca="1" si="86"/>
        <v/>
      </c>
      <c r="AE525" s="9" t="str">
        <f t="shared" ca="1" si="87"/>
        <v/>
      </c>
      <c r="AF525" s="9" t="str">
        <f ca="1">IF(AND(Y525,AA525="ERREUR"),COUNTIF($AA$2:$AA525,"ERREUR"),"")</f>
        <v/>
      </c>
    </row>
    <row r="526" spans="23:32" ht="25" customHeight="1">
      <c r="W526" s="19">
        <f t="shared" ca="1" si="80"/>
        <v>45944</v>
      </c>
      <c r="X526" s="9" t="str">
        <f t="shared" ca="1" si="81"/>
        <v>14102025</v>
      </c>
      <c r="Y526" s="9" t="b">
        <f t="shared" ca="1" si="82"/>
        <v>0</v>
      </c>
      <c r="Z526" s="9" t="str">
        <f ca="1">IF(Y526,COUNTIF($Y$2:$Y526,TRUE),"")</f>
        <v/>
      </c>
      <c r="AA526" s="9" t="str">
        <f t="shared" ca="1" si="83"/>
        <v/>
      </c>
      <c r="AB526" s="9" t="str">
        <f t="shared" ca="1" si="84"/>
        <v/>
      </c>
      <c r="AC526" s="9" t="str">
        <f t="shared" ca="1" si="85"/>
        <v/>
      </c>
      <c r="AD526" s="9" t="str">
        <f t="shared" ca="1" si="86"/>
        <v/>
      </c>
      <c r="AE526" s="9" t="str">
        <f t="shared" ca="1" si="87"/>
        <v/>
      </c>
      <c r="AF526" s="9" t="str">
        <f ca="1">IF(AND(Y526,AA526="ERREUR"),COUNTIF($AA$2:$AA526,"ERREUR"),"")</f>
        <v/>
      </c>
    </row>
    <row r="527" spans="23:32" ht="25" customHeight="1">
      <c r="W527" s="19">
        <f t="shared" ca="1" si="80"/>
        <v>45943</v>
      </c>
      <c r="X527" s="9" t="str">
        <f t="shared" ca="1" si="81"/>
        <v>13102025</v>
      </c>
      <c r="Y527" s="9" t="b">
        <f t="shared" ca="1" si="82"/>
        <v>0</v>
      </c>
      <c r="Z527" s="9" t="str">
        <f ca="1">IF(Y527,COUNTIF($Y$2:$Y527,TRUE),"")</f>
        <v/>
      </c>
      <c r="AA527" s="9" t="str">
        <f t="shared" ca="1" si="83"/>
        <v/>
      </c>
      <c r="AB527" s="9" t="str">
        <f t="shared" ca="1" si="84"/>
        <v/>
      </c>
      <c r="AC527" s="9" t="str">
        <f t="shared" ca="1" si="85"/>
        <v/>
      </c>
      <c r="AD527" s="9" t="str">
        <f t="shared" ca="1" si="86"/>
        <v/>
      </c>
      <c r="AE527" s="9" t="str">
        <f t="shared" ca="1" si="87"/>
        <v/>
      </c>
      <c r="AF527" s="9" t="str">
        <f ca="1">IF(AND(Y527,AA527="ERREUR"),COUNTIF($AA$2:$AA527,"ERREUR"),"")</f>
        <v/>
      </c>
    </row>
    <row r="528" spans="23:32" ht="25" customHeight="1">
      <c r="W528" s="19">
        <f t="shared" ca="1" si="80"/>
        <v>45942</v>
      </c>
      <c r="X528" s="9" t="str">
        <f t="shared" ca="1" si="81"/>
        <v>12102025</v>
      </c>
      <c r="Y528" s="9" t="b">
        <f t="shared" ca="1" si="82"/>
        <v>0</v>
      </c>
      <c r="Z528" s="9" t="str">
        <f ca="1">IF(Y528,COUNTIF($Y$2:$Y528,TRUE),"")</f>
        <v/>
      </c>
      <c r="AA528" s="9" t="str">
        <f t="shared" ca="1" si="83"/>
        <v/>
      </c>
      <c r="AB528" s="9" t="str">
        <f t="shared" ca="1" si="84"/>
        <v/>
      </c>
      <c r="AC528" s="9" t="str">
        <f t="shared" ca="1" si="85"/>
        <v/>
      </c>
      <c r="AD528" s="9" t="str">
        <f t="shared" ca="1" si="86"/>
        <v/>
      </c>
      <c r="AE528" s="9" t="str">
        <f t="shared" ca="1" si="87"/>
        <v/>
      </c>
      <c r="AF528" s="9" t="str">
        <f ca="1">IF(AND(Y528,AA528="ERREUR"),COUNTIF($AA$2:$AA528,"ERREUR"),"")</f>
        <v/>
      </c>
    </row>
    <row r="529" spans="23:32" ht="25" customHeight="1">
      <c r="W529" s="19">
        <f t="shared" ca="1" si="80"/>
        <v>45941</v>
      </c>
      <c r="X529" s="9" t="str">
        <f t="shared" ca="1" si="81"/>
        <v>11102025</v>
      </c>
      <c r="Y529" s="9" t="b">
        <f t="shared" ca="1" si="82"/>
        <v>0</v>
      </c>
      <c r="Z529" s="9" t="str">
        <f ca="1">IF(Y529,COUNTIF($Y$2:$Y529,TRUE),"")</f>
        <v/>
      </c>
      <c r="AA529" s="9" t="str">
        <f t="shared" ca="1" si="83"/>
        <v/>
      </c>
      <c r="AB529" s="9" t="str">
        <f t="shared" ca="1" si="84"/>
        <v/>
      </c>
      <c r="AC529" s="9" t="str">
        <f t="shared" ca="1" si="85"/>
        <v/>
      </c>
      <c r="AD529" s="9" t="str">
        <f t="shared" ca="1" si="86"/>
        <v/>
      </c>
      <c r="AE529" s="9" t="str">
        <f t="shared" ca="1" si="87"/>
        <v/>
      </c>
      <c r="AF529" s="9" t="str">
        <f ca="1">IF(AND(Y529,AA529="ERREUR"),COUNTIF($AA$2:$AA529,"ERREUR"),"")</f>
        <v/>
      </c>
    </row>
    <row r="530" spans="23:32" ht="25" customHeight="1">
      <c r="W530" s="19">
        <f t="shared" ca="1" si="80"/>
        <v>45940</v>
      </c>
      <c r="X530" s="9" t="str">
        <f t="shared" ca="1" si="81"/>
        <v>10102025</v>
      </c>
      <c r="Y530" s="9" t="b">
        <f t="shared" ca="1" si="82"/>
        <v>0</v>
      </c>
      <c r="Z530" s="9" t="str">
        <f ca="1">IF(Y530,COUNTIF($Y$2:$Y530,TRUE),"")</f>
        <v/>
      </c>
      <c r="AA530" s="9" t="str">
        <f t="shared" ca="1" si="83"/>
        <v/>
      </c>
      <c r="AB530" s="9" t="str">
        <f t="shared" ca="1" si="84"/>
        <v/>
      </c>
      <c r="AC530" s="9" t="str">
        <f t="shared" ca="1" si="85"/>
        <v/>
      </c>
      <c r="AD530" s="9" t="str">
        <f t="shared" ca="1" si="86"/>
        <v/>
      </c>
      <c r="AE530" s="9" t="str">
        <f t="shared" ca="1" si="87"/>
        <v/>
      </c>
      <c r="AF530" s="9" t="str">
        <f ca="1">IF(AND(Y530,AA530="ERREUR"),COUNTIF($AA$2:$AA530,"ERREUR"),"")</f>
        <v/>
      </c>
    </row>
    <row r="531" spans="23:32" ht="25" customHeight="1">
      <c r="W531" s="19">
        <f t="shared" ca="1" si="80"/>
        <v>45939</v>
      </c>
      <c r="X531" s="9" t="str">
        <f t="shared" ca="1" si="81"/>
        <v>09102025</v>
      </c>
      <c r="Y531" s="9" t="b">
        <f t="shared" ca="1" si="82"/>
        <v>0</v>
      </c>
      <c r="Z531" s="9" t="str">
        <f ca="1">IF(Y531,COUNTIF($Y$2:$Y531,TRUE),"")</f>
        <v/>
      </c>
      <c r="AA531" s="9" t="str">
        <f t="shared" ca="1" si="83"/>
        <v/>
      </c>
      <c r="AB531" s="9" t="str">
        <f t="shared" ca="1" si="84"/>
        <v/>
      </c>
      <c r="AC531" s="9" t="str">
        <f t="shared" ca="1" si="85"/>
        <v/>
      </c>
      <c r="AD531" s="9" t="str">
        <f t="shared" ca="1" si="86"/>
        <v/>
      </c>
      <c r="AE531" s="9" t="str">
        <f t="shared" ca="1" si="87"/>
        <v/>
      </c>
      <c r="AF531" s="9" t="str">
        <f ca="1">IF(AND(Y531,AA531="ERREUR"),COUNTIF($AA$2:$AA531,"ERREUR"),"")</f>
        <v/>
      </c>
    </row>
    <row r="532" spans="23:32" ht="25" customHeight="1">
      <c r="W532" s="19">
        <f t="shared" ca="1" si="80"/>
        <v>45938</v>
      </c>
      <c r="X532" s="9" t="str">
        <f t="shared" ca="1" si="81"/>
        <v>08102025</v>
      </c>
      <c r="Y532" s="9" t="b">
        <f t="shared" ca="1" si="82"/>
        <v>0</v>
      </c>
      <c r="Z532" s="9" t="str">
        <f ca="1">IF(Y532,COUNTIF($Y$2:$Y532,TRUE),"")</f>
        <v/>
      </c>
      <c r="AA532" s="9" t="str">
        <f t="shared" ca="1" si="83"/>
        <v/>
      </c>
      <c r="AB532" s="9" t="str">
        <f t="shared" ca="1" si="84"/>
        <v/>
      </c>
      <c r="AC532" s="9" t="str">
        <f t="shared" ca="1" si="85"/>
        <v/>
      </c>
      <c r="AD532" s="9" t="str">
        <f t="shared" ca="1" si="86"/>
        <v/>
      </c>
      <c r="AE532" s="9" t="str">
        <f t="shared" ca="1" si="87"/>
        <v/>
      </c>
      <c r="AF532" s="9" t="str">
        <f ca="1">IF(AND(Y532,AA532="ERREUR"),COUNTIF($AA$2:$AA532,"ERREUR"),"")</f>
        <v/>
      </c>
    </row>
    <row r="533" spans="23:32" ht="25" customHeight="1">
      <c r="W533" s="19">
        <f t="shared" ca="1" si="80"/>
        <v>45937</v>
      </c>
      <c r="X533" s="9" t="str">
        <f t="shared" ca="1" si="81"/>
        <v>07102025</v>
      </c>
      <c r="Y533" s="9" t="b">
        <f t="shared" ca="1" si="82"/>
        <v>0</v>
      </c>
      <c r="Z533" s="9" t="str">
        <f ca="1">IF(Y533,COUNTIF($Y$2:$Y533,TRUE),"")</f>
        <v/>
      </c>
      <c r="AA533" s="9" t="str">
        <f t="shared" ca="1" si="83"/>
        <v/>
      </c>
      <c r="AB533" s="9" t="str">
        <f t="shared" ca="1" si="84"/>
        <v/>
      </c>
      <c r="AC533" s="9" t="str">
        <f t="shared" ca="1" si="85"/>
        <v/>
      </c>
      <c r="AD533" s="9" t="str">
        <f t="shared" ca="1" si="86"/>
        <v/>
      </c>
      <c r="AE533" s="9" t="str">
        <f t="shared" ca="1" si="87"/>
        <v/>
      </c>
      <c r="AF533" s="9" t="str">
        <f ca="1">IF(AND(Y533,AA533="ERREUR"),COUNTIF($AA$2:$AA533,"ERREUR"),"")</f>
        <v/>
      </c>
    </row>
    <row r="534" spans="23:32" ht="25" customHeight="1">
      <c r="W534" s="19">
        <f t="shared" ca="1" si="80"/>
        <v>45936</v>
      </c>
      <c r="X534" s="9" t="str">
        <f t="shared" ca="1" si="81"/>
        <v>06102025</v>
      </c>
      <c r="Y534" s="9" t="b">
        <f t="shared" ca="1" si="82"/>
        <v>0</v>
      </c>
      <c r="Z534" s="9" t="str">
        <f ca="1">IF(Y534,COUNTIF($Y$2:$Y534,TRUE),"")</f>
        <v/>
      </c>
      <c r="AA534" s="9" t="str">
        <f t="shared" ca="1" si="83"/>
        <v/>
      </c>
      <c r="AB534" s="9" t="str">
        <f t="shared" ca="1" si="84"/>
        <v/>
      </c>
      <c r="AC534" s="9" t="str">
        <f t="shared" ca="1" si="85"/>
        <v/>
      </c>
      <c r="AD534" s="9" t="str">
        <f t="shared" ca="1" si="86"/>
        <v/>
      </c>
      <c r="AE534" s="9" t="str">
        <f t="shared" ca="1" si="87"/>
        <v/>
      </c>
      <c r="AF534" s="9" t="str">
        <f ca="1">IF(AND(Y534,AA534="ERREUR"),COUNTIF($AA$2:$AA534,"ERREUR"),"")</f>
        <v/>
      </c>
    </row>
    <row r="535" spans="23:32" ht="25" customHeight="1">
      <c r="W535" s="19">
        <f t="shared" ca="1" si="80"/>
        <v>45935</v>
      </c>
      <c r="X535" s="9" t="str">
        <f t="shared" ca="1" si="81"/>
        <v>05102025</v>
      </c>
      <c r="Y535" s="9" t="b">
        <f t="shared" ca="1" si="82"/>
        <v>0</v>
      </c>
      <c r="Z535" s="9" t="str">
        <f ca="1">IF(Y535,COUNTIF($Y$2:$Y535,TRUE),"")</f>
        <v/>
      </c>
      <c r="AA535" s="9" t="str">
        <f t="shared" ca="1" si="83"/>
        <v/>
      </c>
      <c r="AB535" s="9" t="str">
        <f t="shared" ca="1" si="84"/>
        <v/>
      </c>
      <c r="AC535" s="9" t="str">
        <f t="shared" ca="1" si="85"/>
        <v/>
      </c>
      <c r="AD535" s="9" t="str">
        <f t="shared" ca="1" si="86"/>
        <v/>
      </c>
      <c r="AE535" s="9" t="str">
        <f t="shared" ca="1" si="87"/>
        <v/>
      </c>
      <c r="AF535" s="9" t="str">
        <f ca="1">IF(AND(Y535,AA535="ERREUR"),COUNTIF($AA$2:$AA535,"ERREUR"),"")</f>
        <v/>
      </c>
    </row>
    <row r="536" spans="23:32" ht="25" customHeight="1">
      <c r="W536" s="19">
        <f t="shared" ca="1" si="80"/>
        <v>45934</v>
      </c>
      <c r="X536" s="9" t="str">
        <f t="shared" ca="1" si="81"/>
        <v>04102025</v>
      </c>
      <c r="Y536" s="9" t="b">
        <f t="shared" ca="1" si="82"/>
        <v>0</v>
      </c>
      <c r="Z536" s="9" t="str">
        <f ca="1">IF(Y536,COUNTIF($Y$2:$Y536,TRUE),"")</f>
        <v/>
      </c>
      <c r="AA536" s="9" t="str">
        <f t="shared" ca="1" si="83"/>
        <v/>
      </c>
      <c r="AB536" s="9" t="str">
        <f t="shared" ca="1" si="84"/>
        <v/>
      </c>
      <c r="AC536" s="9" t="str">
        <f t="shared" ca="1" si="85"/>
        <v/>
      </c>
      <c r="AD536" s="9" t="str">
        <f t="shared" ca="1" si="86"/>
        <v/>
      </c>
      <c r="AE536" s="9" t="str">
        <f t="shared" ca="1" si="87"/>
        <v/>
      </c>
      <c r="AF536" s="9" t="str">
        <f ca="1">IF(AND(Y536,AA536="ERREUR"),COUNTIF($AA$2:$AA536,"ERREUR"),"")</f>
        <v/>
      </c>
    </row>
    <row r="537" spans="23:32" ht="25" customHeight="1">
      <c r="W537" s="19">
        <f t="shared" ca="1" si="80"/>
        <v>45933</v>
      </c>
      <c r="X537" s="9" t="str">
        <f t="shared" ca="1" si="81"/>
        <v>03102025</v>
      </c>
      <c r="Y537" s="9" t="b">
        <f t="shared" ca="1" si="82"/>
        <v>0</v>
      </c>
      <c r="Z537" s="9" t="str">
        <f ca="1">IF(Y537,COUNTIF($Y$2:$Y537,TRUE),"")</f>
        <v/>
      </c>
      <c r="AA537" s="9" t="str">
        <f t="shared" ca="1" si="83"/>
        <v/>
      </c>
      <c r="AB537" s="9" t="str">
        <f t="shared" ca="1" si="84"/>
        <v/>
      </c>
      <c r="AC537" s="9" t="str">
        <f t="shared" ca="1" si="85"/>
        <v/>
      </c>
      <c r="AD537" s="9" t="str">
        <f t="shared" ca="1" si="86"/>
        <v/>
      </c>
      <c r="AE537" s="9" t="str">
        <f t="shared" ca="1" si="87"/>
        <v/>
      </c>
      <c r="AF537" s="9" t="str">
        <f ca="1">IF(AND(Y537,AA537="ERREUR"),COUNTIF($AA$2:$AA537,"ERREUR"),"")</f>
        <v/>
      </c>
    </row>
    <row r="538" spans="23:32" ht="25" customHeight="1">
      <c r="W538" s="19">
        <f t="shared" ca="1" si="80"/>
        <v>45932</v>
      </c>
      <c r="X538" s="9" t="str">
        <f t="shared" ca="1" si="81"/>
        <v>02102025</v>
      </c>
      <c r="Y538" s="9" t="b">
        <f t="shared" ca="1" si="82"/>
        <v>0</v>
      </c>
      <c r="Z538" s="9" t="str">
        <f ca="1">IF(Y538,COUNTIF($Y$2:$Y538,TRUE),"")</f>
        <v/>
      </c>
      <c r="AA538" s="9" t="str">
        <f t="shared" ca="1" si="83"/>
        <v/>
      </c>
      <c r="AB538" s="9" t="str">
        <f t="shared" ca="1" si="84"/>
        <v/>
      </c>
      <c r="AC538" s="9" t="str">
        <f t="shared" ca="1" si="85"/>
        <v/>
      </c>
      <c r="AD538" s="9" t="str">
        <f t="shared" ca="1" si="86"/>
        <v/>
      </c>
      <c r="AE538" s="9" t="str">
        <f t="shared" ca="1" si="87"/>
        <v/>
      </c>
      <c r="AF538" s="9" t="str">
        <f ca="1">IF(AND(Y538,AA538="ERREUR"),COUNTIF($AA$2:$AA538,"ERREUR"),"")</f>
        <v/>
      </c>
    </row>
    <row r="539" spans="23:32" ht="25" customHeight="1">
      <c r="W539" s="19">
        <f t="shared" ca="1" si="80"/>
        <v>45931</v>
      </c>
      <c r="X539" s="9" t="str">
        <f t="shared" ca="1" si="81"/>
        <v>01102025</v>
      </c>
      <c r="Y539" s="9" t="b">
        <f t="shared" ca="1" si="82"/>
        <v>0</v>
      </c>
      <c r="Z539" s="9" t="str">
        <f ca="1">IF(Y539,COUNTIF($Y$2:$Y539,TRUE),"")</f>
        <v/>
      </c>
      <c r="AA539" s="9" t="str">
        <f t="shared" ca="1" si="83"/>
        <v/>
      </c>
      <c r="AB539" s="9" t="str">
        <f t="shared" ca="1" si="84"/>
        <v/>
      </c>
      <c r="AC539" s="9" t="str">
        <f t="shared" ca="1" si="85"/>
        <v/>
      </c>
      <c r="AD539" s="9" t="str">
        <f t="shared" ca="1" si="86"/>
        <v/>
      </c>
      <c r="AE539" s="9" t="str">
        <f t="shared" ca="1" si="87"/>
        <v/>
      </c>
      <c r="AF539" s="9" t="str">
        <f ca="1">IF(AND(Y539,AA539="ERREUR"),COUNTIF($AA$2:$AA539,"ERREUR"),"")</f>
        <v/>
      </c>
    </row>
    <row r="540" spans="23:32" ht="25" customHeight="1">
      <c r="W540" s="19">
        <f t="shared" ca="1" si="80"/>
        <v>45930</v>
      </c>
      <c r="X540" s="9" t="str">
        <f t="shared" ca="1" si="81"/>
        <v>30092025</v>
      </c>
      <c r="Y540" s="9" t="b">
        <f t="shared" ca="1" si="82"/>
        <v>0</v>
      </c>
      <c r="Z540" s="9" t="str">
        <f ca="1">IF(Y540,COUNTIF($Y$2:$Y540,TRUE),"")</f>
        <v/>
      </c>
      <c r="AA540" s="9" t="str">
        <f t="shared" ca="1" si="83"/>
        <v/>
      </c>
      <c r="AB540" s="9" t="str">
        <f t="shared" ca="1" si="84"/>
        <v/>
      </c>
      <c r="AC540" s="9" t="str">
        <f t="shared" ca="1" si="85"/>
        <v/>
      </c>
      <c r="AD540" s="9" t="str">
        <f t="shared" ca="1" si="86"/>
        <v/>
      </c>
      <c r="AE540" s="9" t="str">
        <f t="shared" ca="1" si="87"/>
        <v/>
      </c>
      <c r="AF540" s="9" t="str">
        <f ca="1">IF(AND(Y540,AA540="ERREUR"),COUNTIF($AA$2:$AA540,"ERREUR"),"")</f>
        <v/>
      </c>
    </row>
    <row r="541" spans="23:32" ht="25" customHeight="1">
      <c r="W541" s="19">
        <f t="shared" ca="1" si="80"/>
        <v>45929</v>
      </c>
      <c r="X541" s="9" t="str">
        <f t="shared" ca="1" si="81"/>
        <v>29092025</v>
      </c>
      <c r="Y541" s="9" t="b">
        <f t="shared" ca="1" si="82"/>
        <v>0</v>
      </c>
      <c r="Z541" s="9" t="str">
        <f ca="1">IF(Y541,COUNTIF($Y$2:$Y541,TRUE),"")</f>
        <v/>
      </c>
      <c r="AA541" s="9" t="str">
        <f t="shared" ca="1" si="83"/>
        <v/>
      </c>
      <c r="AB541" s="9" t="str">
        <f t="shared" ca="1" si="84"/>
        <v/>
      </c>
      <c r="AC541" s="9" t="str">
        <f t="shared" ca="1" si="85"/>
        <v/>
      </c>
      <c r="AD541" s="9" t="str">
        <f t="shared" ca="1" si="86"/>
        <v/>
      </c>
      <c r="AE541" s="9" t="str">
        <f t="shared" ca="1" si="87"/>
        <v/>
      </c>
      <c r="AF541" s="9" t="str">
        <f ca="1">IF(AND(Y541,AA541="ERREUR"),COUNTIF($AA$2:$AA541,"ERREUR"),"")</f>
        <v/>
      </c>
    </row>
    <row r="542" spans="23:32" ht="25" customHeight="1">
      <c r="W542" s="19">
        <f t="shared" ca="1" si="80"/>
        <v>45928</v>
      </c>
      <c r="X542" s="9" t="str">
        <f t="shared" ca="1" si="81"/>
        <v>28092025</v>
      </c>
      <c r="Y542" s="9" t="b">
        <f t="shared" ca="1" si="82"/>
        <v>0</v>
      </c>
      <c r="Z542" s="9" t="str">
        <f ca="1">IF(Y542,COUNTIF($Y$2:$Y542,TRUE),"")</f>
        <v/>
      </c>
      <c r="AA542" s="9" t="str">
        <f t="shared" ca="1" si="83"/>
        <v/>
      </c>
      <c r="AB542" s="9" t="str">
        <f t="shared" ca="1" si="84"/>
        <v/>
      </c>
      <c r="AC542" s="9" t="str">
        <f t="shared" ca="1" si="85"/>
        <v/>
      </c>
      <c r="AD542" s="9" t="str">
        <f t="shared" ca="1" si="86"/>
        <v/>
      </c>
      <c r="AE542" s="9" t="str">
        <f t="shared" ca="1" si="87"/>
        <v/>
      </c>
      <c r="AF542" s="9" t="str">
        <f ca="1">IF(AND(Y542,AA542="ERREUR"),COUNTIF($AA$2:$AA542,"ERREUR"),"")</f>
        <v/>
      </c>
    </row>
    <row r="543" spans="23:32" ht="25" customHeight="1">
      <c r="W543" s="19">
        <f t="shared" ca="1" si="80"/>
        <v>45927</v>
      </c>
      <c r="X543" s="9" t="str">
        <f t="shared" ca="1" si="81"/>
        <v>27092025</v>
      </c>
      <c r="Y543" s="9" t="b">
        <f t="shared" ca="1" si="82"/>
        <v>0</v>
      </c>
      <c r="Z543" s="9" t="str">
        <f ca="1">IF(Y543,COUNTIF($Y$2:$Y543,TRUE),"")</f>
        <v/>
      </c>
      <c r="AA543" s="9" t="str">
        <f t="shared" ca="1" si="83"/>
        <v/>
      </c>
      <c r="AB543" s="9" t="str">
        <f t="shared" ca="1" si="84"/>
        <v/>
      </c>
      <c r="AC543" s="9" t="str">
        <f t="shared" ca="1" si="85"/>
        <v/>
      </c>
      <c r="AD543" s="9" t="str">
        <f t="shared" ca="1" si="86"/>
        <v/>
      </c>
      <c r="AE543" s="9" t="str">
        <f t="shared" ca="1" si="87"/>
        <v/>
      </c>
      <c r="AF543" s="9" t="str">
        <f ca="1">IF(AND(Y543,AA543="ERREUR"),COUNTIF($AA$2:$AA543,"ERREUR"),"")</f>
        <v/>
      </c>
    </row>
    <row r="544" spans="23:32" ht="25" customHeight="1">
      <c r="W544" s="19">
        <f t="shared" ca="1" si="80"/>
        <v>45926</v>
      </c>
      <c r="X544" s="9" t="str">
        <f t="shared" ca="1" si="81"/>
        <v>26092025</v>
      </c>
      <c r="Y544" s="9" t="b">
        <f t="shared" ca="1" si="82"/>
        <v>0</v>
      </c>
      <c r="Z544" s="9" t="str">
        <f ca="1">IF(Y544,COUNTIF($Y$2:$Y544,TRUE),"")</f>
        <v/>
      </c>
      <c r="AA544" s="9" t="str">
        <f t="shared" ca="1" si="83"/>
        <v/>
      </c>
      <c r="AB544" s="9" t="str">
        <f t="shared" ca="1" si="84"/>
        <v/>
      </c>
      <c r="AC544" s="9" t="str">
        <f t="shared" ca="1" si="85"/>
        <v/>
      </c>
      <c r="AD544" s="9" t="str">
        <f t="shared" ca="1" si="86"/>
        <v/>
      </c>
      <c r="AE544" s="9" t="str">
        <f t="shared" ca="1" si="87"/>
        <v/>
      </c>
      <c r="AF544" s="9" t="str">
        <f ca="1">IF(AND(Y544,AA544="ERREUR"),COUNTIF($AA$2:$AA544,"ERREUR"),"")</f>
        <v/>
      </c>
    </row>
    <row r="545" spans="23:32" ht="25" customHeight="1">
      <c r="W545" s="19">
        <f t="shared" ca="1" si="80"/>
        <v>45925</v>
      </c>
      <c r="X545" s="9" t="str">
        <f t="shared" ca="1" si="81"/>
        <v>25092025</v>
      </c>
      <c r="Y545" s="9" t="b">
        <f t="shared" ca="1" si="82"/>
        <v>0</v>
      </c>
      <c r="Z545" s="9" t="str">
        <f ca="1">IF(Y545,COUNTIF($Y$2:$Y545,TRUE),"")</f>
        <v/>
      </c>
      <c r="AA545" s="9" t="str">
        <f t="shared" ca="1" si="83"/>
        <v/>
      </c>
      <c r="AB545" s="9" t="str">
        <f t="shared" ca="1" si="84"/>
        <v/>
      </c>
      <c r="AC545" s="9" t="str">
        <f t="shared" ca="1" si="85"/>
        <v/>
      </c>
      <c r="AD545" s="9" t="str">
        <f t="shared" ca="1" si="86"/>
        <v/>
      </c>
      <c r="AE545" s="9" t="str">
        <f t="shared" ca="1" si="87"/>
        <v/>
      </c>
      <c r="AF545" s="9" t="str">
        <f ca="1">IF(AND(Y545,AA545="ERREUR"),COUNTIF($AA$2:$AA545,"ERREUR"),"")</f>
        <v/>
      </c>
    </row>
    <row r="546" spans="23:32" ht="25" customHeight="1">
      <c r="W546" s="19">
        <f t="shared" ca="1" si="80"/>
        <v>45924</v>
      </c>
      <c r="X546" s="9" t="str">
        <f t="shared" ca="1" si="81"/>
        <v>24092025</v>
      </c>
      <c r="Y546" s="9" t="b">
        <f t="shared" ca="1" si="82"/>
        <v>0</v>
      </c>
      <c r="Z546" s="9" t="str">
        <f ca="1">IF(Y546,COUNTIF($Y$2:$Y546,TRUE),"")</f>
        <v/>
      </c>
      <c r="AA546" s="9" t="str">
        <f t="shared" ca="1" si="83"/>
        <v/>
      </c>
      <c r="AB546" s="9" t="str">
        <f t="shared" ca="1" si="84"/>
        <v/>
      </c>
      <c r="AC546" s="9" t="str">
        <f t="shared" ca="1" si="85"/>
        <v/>
      </c>
      <c r="AD546" s="9" t="str">
        <f t="shared" ca="1" si="86"/>
        <v/>
      </c>
      <c r="AE546" s="9" t="str">
        <f t="shared" ca="1" si="87"/>
        <v/>
      </c>
      <c r="AF546" s="9" t="str">
        <f ca="1">IF(AND(Y546,AA546="ERREUR"),COUNTIF($AA$2:$AA546,"ERREUR"),"")</f>
        <v/>
      </c>
    </row>
    <row r="547" spans="23:32" ht="25" customHeight="1">
      <c r="W547" s="19">
        <f t="shared" ca="1" si="80"/>
        <v>45923</v>
      </c>
      <c r="X547" s="9" t="str">
        <f t="shared" ca="1" si="81"/>
        <v>23092025</v>
      </c>
      <c r="Y547" s="9" t="b">
        <f t="shared" ca="1" si="82"/>
        <v>0</v>
      </c>
      <c r="Z547" s="9" t="str">
        <f ca="1">IF(Y547,COUNTIF($Y$2:$Y547,TRUE),"")</f>
        <v/>
      </c>
      <c r="AA547" s="9" t="str">
        <f t="shared" ca="1" si="83"/>
        <v/>
      </c>
      <c r="AB547" s="9" t="str">
        <f t="shared" ca="1" si="84"/>
        <v/>
      </c>
      <c r="AC547" s="9" t="str">
        <f t="shared" ca="1" si="85"/>
        <v/>
      </c>
      <c r="AD547" s="9" t="str">
        <f t="shared" ca="1" si="86"/>
        <v/>
      </c>
      <c r="AE547" s="9" t="str">
        <f t="shared" ca="1" si="87"/>
        <v/>
      </c>
      <c r="AF547" s="9" t="str">
        <f ca="1">IF(AND(Y547,AA547="ERREUR"),COUNTIF($AA$2:$AA547,"ERREUR"),"")</f>
        <v/>
      </c>
    </row>
    <row r="548" spans="23:32" ht="25" customHeight="1">
      <c r="W548" s="19">
        <f t="shared" ca="1" si="80"/>
        <v>45922</v>
      </c>
      <c r="X548" s="9" t="str">
        <f t="shared" ca="1" si="81"/>
        <v>22092025</v>
      </c>
      <c r="Y548" s="9" t="b">
        <f t="shared" ca="1" si="82"/>
        <v>0</v>
      </c>
      <c r="Z548" s="9" t="str">
        <f ca="1">IF(Y548,COUNTIF($Y$2:$Y548,TRUE),"")</f>
        <v/>
      </c>
      <c r="AA548" s="9" t="str">
        <f t="shared" ca="1" si="83"/>
        <v/>
      </c>
      <c r="AB548" s="9" t="str">
        <f t="shared" ca="1" si="84"/>
        <v/>
      </c>
      <c r="AC548" s="9" t="str">
        <f t="shared" ca="1" si="85"/>
        <v/>
      </c>
      <c r="AD548" s="9" t="str">
        <f t="shared" ca="1" si="86"/>
        <v/>
      </c>
      <c r="AE548" s="9" t="str">
        <f t="shared" ca="1" si="87"/>
        <v/>
      </c>
      <c r="AF548" s="9" t="str">
        <f ca="1">IF(AND(Y548,AA548="ERREUR"),COUNTIF($AA$2:$AA548,"ERREUR"),"")</f>
        <v/>
      </c>
    </row>
    <row r="549" spans="23:32" ht="25" customHeight="1">
      <c r="W549" s="19">
        <f t="shared" ca="1" si="80"/>
        <v>45921</v>
      </c>
      <c r="X549" s="9" t="str">
        <f t="shared" ca="1" si="81"/>
        <v>21092025</v>
      </c>
      <c r="Y549" s="9" t="b">
        <f t="shared" ca="1" si="82"/>
        <v>0</v>
      </c>
      <c r="Z549" s="9" t="str">
        <f ca="1">IF(Y549,COUNTIF($Y$2:$Y549,TRUE),"")</f>
        <v/>
      </c>
      <c r="AA549" s="9" t="str">
        <f t="shared" ca="1" si="83"/>
        <v/>
      </c>
      <c r="AB549" s="9" t="str">
        <f t="shared" ca="1" si="84"/>
        <v/>
      </c>
      <c r="AC549" s="9" t="str">
        <f t="shared" ca="1" si="85"/>
        <v/>
      </c>
      <c r="AD549" s="9" t="str">
        <f t="shared" ca="1" si="86"/>
        <v/>
      </c>
      <c r="AE549" s="9" t="str">
        <f t="shared" ca="1" si="87"/>
        <v/>
      </c>
      <c r="AF549" s="9" t="str">
        <f ca="1">IF(AND(Y549,AA549="ERREUR"),COUNTIF($AA$2:$AA549,"ERREUR"),"")</f>
        <v/>
      </c>
    </row>
    <row r="550" spans="23:32" ht="25" customHeight="1">
      <c r="W550" s="19">
        <f t="shared" ca="1" si="80"/>
        <v>45920</v>
      </c>
      <c r="X550" s="9" t="str">
        <f t="shared" ca="1" si="81"/>
        <v>20092025</v>
      </c>
      <c r="Y550" s="9" t="b">
        <f t="shared" ca="1" si="82"/>
        <v>0</v>
      </c>
      <c r="Z550" s="9" t="str">
        <f ca="1">IF(Y550,COUNTIF($Y$2:$Y550,TRUE),"")</f>
        <v/>
      </c>
      <c r="AA550" s="9" t="str">
        <f t="shared" ca="1" si="83"/>
        <v/>
      </c>
      <c r="AB550" s="9" t="str">
        <f t="shared" ca="1" si="84"/>
        <v/>
      </c>
      <c r="AC550" s="9" t="str">
        <f t="shared" ca="1" si="85"/>
        <v/>
      </c>
      <c r="AD550" s="9" t="str">
        <f t="shared" ca="1" si="86"/>
        <v/>
      </c>
      <c r="AE550" s="9" t="str">
        <f t="shared" ca="1" si="87"/>
        <v/>
      </c>
      <c r="AF550" s="9" t="str">
        <f ca="1">IF(AND(Y550,AA550="ERREUR"),COUNTIF($AA$2:$AA550,"ERREUR"),"")</f>
        <v/>
      </c>
    </row>
    <row r="551" spans="23:32" ht="25" customHeight="1">
      <c r="W551" s="19">
        <f t="shared" ca="1" si="80"/>
        <v>45919</v>
      </c>
      <c r="X551" s="9" t="str">
        <f t="shared" ca="1" si="81"/>
        <v>19092025</v>
      </c>
      <c r="Y551" s="9" t="b">
        <f t="shared" ca="1" si="82"/>
        <v>0</v>
      </c>
      <c r="Z551" s="9" t="str">
        <f ca="1">IF(Y551,COUNTIF($Y$2:$Y551,TRUE),"")</f>
        <v/>
      </c>
      <c r="AA551" s="9" t="str">
        <f t="shared" ca="1" si="83"/>
        <v/>
      </c>
      <c r="AB551" s="9" t="str">
        <f t="shared" ca="1" si="84"/>
        <v/>
      </c>
      <c r="AC551" s="9" t="str">
        <f t="shared" ca="1" si="85"/>
        <v/>
      </c>
      <c r="AD551" s="9" t="str">
        <f t="shared" ca="1" si="86"/>
        <v/>
      </c>
      <c r="AE551" s="9" t="str">
        <f t="shared" ca="1" si="87"/>
        <v/>
      </c>
      <c r="AF551" s="9" t="str">
        <f ca="1">IF(AND(Y551,AA551="ERREUR"),COUNTIF($AA$2:$AA551,"ERREUR"),"")</f>
        <v/>
      </c>
    </row>
    <row r="552" spans="23:32" ht="25" customHeight="1">
      <c r="W552" s="19">
        <f t="shared" ca="1" si="80"/>
        <v>45918</v>
      </c>
      <c r="X552" s="9" t="str">
        <f t="shared" ca="1" si="81"/>
        <v>18092025</v>
      </c>
      <c r="Y552" s="9" t="b">
        <f t="shared" ca="1" si="82"/>
        <v>0</v>
      </c>
      <c r="Z552" s="9" t="str">
        <f ca="1">IF(Y552,COUNTIF($Y$2:$Y552,TRUE),"")</f>
        <v/>
      </c>
      <c r="AA552" s="9" t="str">
        <f t="shared" ca="1" si="83"/>
        <v/>
      </c>
      <c r="AB552" s="9" t="str">
        <f t="shared" ca="1" si="84"/>
        <v/>
      </c>
      <c r="AC552" s="9" t="str">
        <f t="shared" ca="1" si="85"/>
        <v/>
      </c>
      <c r="AD552" s="9" t="str">
        <f t="shared" ca="1" si="86"/>
        <v/>
      </c>
      <c r="AE552" s="9" t="str">
        <f t="shared" ca="1" si="87"/>
        <v/>
      </c>
      <c r="AF552" s="9" t="str">
        <f ca="1">IF(AND(Y552,AA552="ERREUR"),COUNTIF($AA$2:$AA552,"ERREUR"),"")</f>
        <v/>
      </c>
    </row>
    <row r="553" spans="23:32" ht="25" customHeight="1">
      <c r="W553" s="19">
        <f t="shared" ca="1" si="80"/>
        <v>45917</v>
      </c>
      <c r="X553" s="9" t="str">
        <f t="shared" ca="1" si="81"/>
        <v>17092025</v>
      </c>
      <c r="Y553" s="9" t="b">
        <f t="shared" ca="1" si="82"/>
        <v>0</v>
      </c>
      <c r="Z553" s="9" t="str">
        <f ca="1">IF(Y553,COUNTIF($Y$2:$Y553,TRUE),"")</f>
        <v/>
      </c>
      <c r="AA553" s="9" t="str">
        <f t="shared" ca="1" si="83"/>
        <v/>
      </c>
      <c r="AB553" s="9" t="str">
        <f t="shared" ca="1" si="84"/>
        <v/>
      </c>
      <c r="AC553" s="9" t="str">
        <f t="shared" ca="1" si="85"/>
        <v/>
      </c>
      <c r="AD553" s="9" t="str">
        <f t="shared" ca="1" si="86"/>
        <v/>
      </c>
      <c r="AE553" s="9" t="str">
        <f t="shared" ca="1" si="87"/>
        <v/>
      </c>
      <c r="AF553" s="9" t="str">
        <f ca="1">IF(AND(Y553,AA553="ERREUR"),COUNTIF($AA$2:$AA553,"ERREUR"),"")</f>
        <v/>
      </c>
    </row>
    <row r="554" spans="23:32" ht="25" customHeight="1">
      <c r="W554" s="19">
        <f t="shared" ca="1" si="80"/>
        <v>45916</v>
      </c>
      <c r="X554" s="9" t="str">
        <f t="shared" ca="1" si="81"/>
        <v>16092025</v>
      </c>
      <c r="Y554" s="9" t="b">
        <f t="shared" ca="1" si="82"/>
        <v>0</v>
      </c>
      <c r="Z554" s="9" t="str">
        <f ca="1">IF(Y554,COUNTIF($Y$2:$Y554,TRUE),"")</f>
        <v/>
      </c>
      <c r="AA554" s="9" t="str">
        <f t="shared" ca="1" si="83"/>
        <v/>
      </c>
      <c r="AB554" s="9" t="str">
        <f t="shared" ca="1" si="84"/>
        <v/>
      </c>
      <c r="AC554" s="9" t="str">
        <f t="shared" ca="1" si="85"/>
        <v/>
      </c>
      <c r="AD554" s="9" t="str">
        <f t="shared" ca="1" si="86"/>
        <v/>
      </c>
      <c r="AE554" s="9" t="str">
        <f t="shared" ca="1" si="87"/>
        <v/>
      </c>
      <c r="AF554" s="9" t="str">
        <f ca="1">IF(AND(Y554,AA554="ERREUR"),COUNTIF($AA$2:$AA554,"ERREUR"),"")</f>
        <v/>
      </c>
    </row>
    <row r="555" spans="23:32" ht="25" customHeight="1">
      <c r="W555" s="19">
        <f t="shared" ca="1" si="80"/>
        <v>45915</v>
      </c>
      <c r="X555" s="9" t="str">
        <f t="shared" ca="1" si="81"/>
        <v>15092025</v>
      </c>
      <c r="Y555" s="9" t="b">
        <f t="shared" ca="1" si="82"/>
        <v>0</v>
      </c>
      <c r="Z555" s="9" t="str">
        <f ca="1">IF(Y555,COUNTIF($Y$2:$Y555,TRUE),"")</f>
        <v/>
      </c>
      <c r="AA555" s="9" t="str">
        <f t="shared" ca="1" si="83"/>
        <v/>
      </c>
      <c r="AB555" s="9" t="str">
        <f t="shared" ca="1" si="84"/>
        <v/>
      </c>
      <c r="AC555" s="9" t="str">
        <f t="shared" ca="1" si="85"/>
        <v/>
      </c>
      <c r="AD555" s="9" t="str">
        <f t="shared" ca="1" si="86"/>
        <v/>
      </c>
      <c r="AE555" s="9" t="str">
        <f t="shared" ca="1" si="87"/>
        <v/>
      </c>
      <c r="AF555" s="9" t="str">
        <f ca="1">IF(AND(Y555,AA555="ERREUR"),COUNTIF($AA$2:$AA555,"ERREUR"),"")</f>
        <v/>
      </c>
    </row>
    <row r="556" spans="23:32" ht="25" customHeight="1">
      <c r="W556" s="19">
        <f t="shared" ca="1" si="80"/>
        <v>45914</v>
      </c>
      <c r="X556" s="9" t="str">
        <f t="shared" ca="1" si="81"/>
        <v>14092025</v>
      </c>
      <c r="Y556" s="9" t="b">
        <f t="shared" ca="1" si="82"/>
        <v>0</v>
      </c>
      <c r="Z556" s="9" t="str">
        <f ca="1">IF(Y556,COUNTIF($Y$2:$Y556,TRUE),"")</f>
        <v/>
      </c>
      <c r="AA556" s="9" t="str">
        <f t="shared" ca="1" si="83"/>
        <v/>
      </c>
      <c r="AB556" s="9" t="str">
        <f t="shared" ca="1" si="84"/>
        <v/>
      </c>
      <c r="AC556" s="9" t="str">
        <f t="shared" ca="1" si="85"/>
        <v/>
      </c>
      <c r="AD556" s="9" t="str">
        <f t="shared" ca="1" si="86"/>
        <v/>
      </c>
      <c r="AE556" s="9" t="str">
        <f t="shared" ca="1" si="87"/>
        <v/>
      </c>
      <c r="AF556" s="9" t="str">
        <f ca="1">IF(AND(Y556,AA556="ERREUR"),COUNTIF($AA$2:$AA556,"ERREUR"),"")</f>
        <v/>
      </c>
    </row>
    <row r="557" spans="23:32" ht="25" customHeight="1">
      <c r="W557" s="19">
        <f t="shared" ca="1" si="80"/>
        <v>45913</v>
      </c>
      <c r="X557" s="9" t="str">
        <f t="shared" ca="1" si="81"/>
        <v>13092025</v>
      </c>
      <c r="Y557" s="9" t="b">
        <f t="shared" ca="1" si="82"/>
        <v>0</v>
      </c>
      <c r="Z557" s="9" t="str">
        <f ca="1">IF(Y557,COUNTIF($Y$2:$Y557,TRUE),"")</f>
        <v/>
      </c>
      <c r="AA557" s="9" t="str">
        <f t="shared" ca="1" si="83"/>
        <v/>
      </c>
      <c r="AB557" s="9" t="str">
        <f t="shared" ca="1" si="84"/>
        <v/>
      </c>
      <c r="AC557" s="9" t="str">
        <f t="shared" ca="1" si="85"/>
        <v/>
      </c>
      <c r="AD557" s="9" t="str">
        <f t="shared" ca="1" si="86"/>
        <v/>
      </c>
      <c r="AE557" s="9" t="str">
        <f t="shared" ca="1" si="87"/>
        <v/>
      </c>
      <c r="AF557" s="9" t="str">
        <f ca="1">IF(AND(Y557,AA557="ERREUR"),COUNTIF($AA$2:$AA557,"ERREUR"),"")</f>
        <v/>
      </c>
    </row>
    <row r="558" spans="23:32" ht="25" customHeight="1">
      <c r="W558" s="19">
        <f t="shared" ca="1" si="80"/>
        <v>45912</v>
      </c>
      <c r="X558" s="9" t="str">
        <f t="shared" ca="1" si="81"/>
        <v>12092025</v>
      </c>
      <c r="Y558" s="9" t="b">
        <f t="shared" ca="1" si="82"/>
        <v>0</v>
      </c>
      <c r="Z558" s="9" t="str">
        <f ca="1">IF(Y558,COUNTIF($Y$2:$Y558,TRUE),"")</f>
        <v/>
      </c>
      <c r="AA558" s="9" t="str">
        <f t="shared" ca="1" si="83"/>
        <v/>
      </c>
      <c r="AB558" s="9" t="str">
        <f t="shared" ca="1" si="84"/>
        <v/>
      </c>
      <c r="AC558" s="9" t="str">
        <f t="shared" ca="1" si="85"/>
        <v/>
      </c>
      <c r="AD558" s="9" t="str">
        <f t="shared" ca="1" si="86"/>
        <v/>
      </c>
      <c r="AE558" s="9" t="str">
        <f t="shared" ca="1" si="87"/>
        <v/>
      </c>
      <c r="AF558" s="9" t="str">
        <f ca="1">IF(AND(Y558,AA558="ERREUR"),COUNTIF($AA$2:$AA558,"ERREUR"),"")</f>
        <v/>
      </c>
    </row>
    <row r="559" spans="23:32" ht="25" customHeight="1">
      <c r="W559" s="19">
        <f t="shared" ca="1" si="80"/>
        <v>45911</v>
      </c>
      <c r="X559" s="9" t="str">
        <f t="shared" ca="1" si="81"/>
        <v>11092025</v>
      </c>
      <c r="Y559" s="9" t="b">
        <f t="shared" ca="1" si="82"/>
        <v>0</v>
      </c>
      <c r="Z559" s="9" t="str">
        <f ca="1">IF(Y559,COUNTIF($Y$2:$Y559,TRUE),"")</f>
        <v/>
      </c>
      <c r="AA559" s="9" t="str">
        <f t="shared" ca="1" si="83"/>
        <v/>
      </c>
      <c r="AB559" s="9" t="str">
        <f t="shared" ca="1" si="84"/>
        <v/>
      </c>
      <c r="AC559" s="9" t="str">
        <f t="shared" ca="1" si="85"/>
        <v/>
      </c>
      <c r="AD559" s="9" t="str">
        <f t="shared" ca="1" si="86"/>
        <v/>
      </c>
      <c r="AE559" s="9" t="str">
        <f t="shared" ca="1" si="87"/>
        <v/>
      </c>
      <c r="AF559" s="9" t="str">
        <f ca="1">IF(AND(Y559,AA559="ERREUR"),COUNTIF($AA$2:$AA559,"ERREUR"),"")</f>
        <v/>
      </c>
    </row>
    <row r="560" spans="23:32" ht="25" customHeight="1">
      <c r="W560" s="19">
        <f t="shared" ca="1" si="80"/>
        <v>45910</v>
      </c>
      <c r="X560" s="9" t="str">
        <f t="shared" ca="1" si="81"/>
        <v>10092025</v>
      </c>
      <c r="Y560" s="9" t="b">
        <f t="shared" ca="1" si="82"/>
        <v>0</v>
      </c>
      <c r="Z560" s="9" t="str">
        <f ca="1">IF(Y560,COUNTIF($Y$2:$Y560,TRUE),"")</f>
        <v/>
      </c>
      <c r="AA560" s="9" t="str">
        <f t="shared" ca="1" si="83"/>
        <v/>
      </c>
      <c r="AB560" s="9" t="str">
        <f t="shared" ca="1" si="84"/>
        <v/>
      </c>
      <c r="AC560" s="9" t="str">
        <f t="shared" ca="1" si="85"/>
        <v/>
      </c>
      <c r="AD560" s="9" t="str">
        <f t="shared" ca="1" si="86"/>
        <v/>
      </c>
      <c r="AE560" s="9" t="str">
        <f t="shared" ca="1" si="87"/>
        <v/>
      </c>
      <c r="AF560" s="9" t="str">
        <f ca="1">IF(AND(Y560,AA560="ERREUR"),COUNTIF($AA$2:$AA560,"ERREUR"),"")</f>
        <v/>
      </c>
    </row>
    <row r="561" spans="23:32" ht="25" customHeight="1">
      <c r="W561" s="19">
        <f t="shared" ca="1" si="80"/>
        <v>45909</v>
      </c>
      <c r="X561" s="9" t="str">
        <f t="shared" ca="1" si="81"/>
        <v>09092025</v>
      </c>
      <c r="Y561" s="9" t="b">
        <f t="shared" ca="1" si="82"/>
        <v>0</v>
      </c>
      <c r="Z561" s="9" t="str">
        <f ca="1">IF(Y561,COUNTIF($Y$2:$Y561,TRUE),"")</f>
        <v/>
      </c>
      <c r="AA561" s="9" t="str">
        <f t="shared" ca="1" si="83"/>
        <v/>
      </c>
      <c r="AB561" s="9" t="str">
        <f t="shared" ca="1" si="84"/>
        <v/>
      </c>
      <c r="AC561" s="9" t="str">
        <f t="shared" ca="1" si="85"/>
        <v/>
      </c>
      <c r="AD561" s="9" t="str">
        <f t="shared" ca="1" si="86"/>
        <v/>
      </c>
      <c r="AE561" s="9" t="str">
        <f t="shared" ca="1" si="87"/>
        <v/>
      </c>
      <c r="AF561" s="9" t="str">
        <f ca="1">IF(AND(Y561,AA561="ERREUR"),COUNTIF($AA$2:$AA561,"ERREUR"),"")</f>
        <v/>
      </c>
    </row>
    <row r="562" spans="23:32" ht="25" customHeight="1">
      <c r="W562" s="19">
        <f t="shared" ca="1" si="80"/>
        <v>45908</v>
      </c>
      <c r="X562" s="9" t="str">
        <f t="shared" ca="1" si="81"/>
        <v>08092025</v>
      </c>
      <c r="Y562" s="9" t="b">
        <f t="shared" ca="1" si="82"/>
        <v>0</v>
      </c>
      <c r="Z562" s="9" t="str">
        <f ca="1">IF(Y562,COUNTIF($Y$2:$Y562,TRUE),"")</f>
        <v/>
      </c>
      <c r="AA562" s="9" t="str">
        <f t="shared" ca="1" si="83"/>
        <v/>
      </c>
      <c r="AB562" s="9" t="str">
        <f t="shared" ca="1" si="84"/>
        <v/>
      </c>
      <c r="AC562" s="9" t="str">
        <f t="shared" ca="1" si="85"/>
        <v/>
      </c>
      <c r="AD562" s="9" t="str">
        <f t="shared" ca="1" si="86"/>
        <v/>
      </c>
      <c r="AE562" s="9" t="str">
        <f t="shared" ca="1" si="87"/>
        <v/>
      </c>
      <c r="AF562" s="9" t="str">
        <f ca="1">IF(AND(Y562,AA562="ERREUR"),COUNTIF($AA$2:$AA562,"ERREUR"),"")</f>
        <v/>
      </c>
    </row>
    <row r="563" spans="23:32" ht="25" customHeight="1">
      <c r="W563" s="19">
        <f t="shared" ca="1" si="80"/>
        <v>45907</v>
      </c>
      <c r="X563" s="9" t="str">
        <f t="shared" ca="1" si="81"/>
        <v>07092025</v>
      </c>
      <c r="Y563" s="9" t="b">
        <f t="shared" ca="1" si="82"/>
        <v>0</v>
      </c>
      <c r="Z563" s="9" t="str">
        <f ca="1">IF(Y563,COUNTIF($Y$2:$Y563,TRUE),"")</f>
        <v/>
      </c>
      <c r="AA563" s="9" t="str">
        <f t="shared" ca="1" si="83"/>
        <v/>
      </c>
      <c r="AB563" s="9" t="str">
        <f t="shared" ca="1" si="84"/>
        <v/>
      </c>
      <c r="AC563" s="9" t="str">
        <f t="shared" ca="1" si="85"/>
        <v/>
      </c>
      <c r="AD563" s="9" t="str">
        <f t="shared" ca="1" si="86"/>
        <v/>
      </c>
      <c r="AE563" s="9" t="str">
        <f t="shared" ca="1" si="87"/>
        <v/>
      </c>
      <c r="AF563" s="9" t="str">
        <f ca="1">IF(AND(Y563,AA563="ERREUR"),COUNTIF($AA$2:$AA563,"ERREUR"),"")</f>
        <v/>
      </c>
    </row>
    <row r="564" spans="23:32" ht="25" customHeight="1">
      <c r="W564" s="19">
        <f t="shared" ca="1" si="80"/>
        <v>45906</v>
      </c>
      <c r="X564" s="9" t="str">
        <f t="shared" ca="1" si="81"/>
        <v>06092025</v>
      </c>
      <c r="Y564" s="9" t="b">
        <f t="shared" ca="1" si="82"/>
        <v>0</v>
      </c>
      <c r="Z564" s="9" t="str">
        <f ca="1">IF(Y564,COUNTIF($Y$2:$Y564,TRUE),"")</f>
        <v/>
      </c>
      <c r="AA564" s="9" t="str">
        <f t="shared" ca="1" si="83"/>
        <v/>
      </c>
      <c r="AB564" s="9" t="str">
        <f t="shared" ca="1" si="84"/>
        <v/>
      </c>
      <c r="AC564" s="9" t="str">
        <f t="shared" ca="1" si="85"/>
        <v/>
      </c>
      <c r="AD564" s="9" t="str">
        <f t="shared" ca="1" si="86"/>
        <v/>
      </c>
      <c r="AE564" s="9" t="str">
        <f t="shared" ca="1" si="87"/>
        <v/>
      </c>
      <c r="AF564" s="9" t="str">
        <f ca="1">IF(AND(Y564,AA564="ERREUR"),COUNTIF($AA$2:$AA564,"ERREUR"),"")</f>
        <v/>
      </c>
    </row>
    <row r="565" spans="23:32" ht="25" customHeight="1">
      <c r="W565" s="19">
        <f t="shared" ca="1" si="80"/>
        <v>45905</v>
      </c>
      <c r="X565" s="9" t="str">
        <f t="shared" ca="1" si="81"/>
        <v>05092025</v>
      </c>
      <c r="Y565" s="9" t="b">
        <f t="shared" ca="1" si="82"/>
        <v>0</v>
      </c>
      <c r="Z565" s="9" t="str">
        <f ca="1">IF(Y565,COUNTIF($Y$2:$Y565,TRUE),"")</f>
        <v/>
      </c>
      <c r="AA565" s="9" t="str">
        <f t="shared" ca="1" si="83"/>
        <v/>
      </c>
      <c r="AB565" s="9" t="str">
        <f t="shared" ca="1" si="84"/>
        <v/>
      </c>
      <c r="AC565" s="9" t="str">
        <f t="shared" ca="1" si="85"/>
        <v/>
      </c>
      <c r="AD565" s="9" t="str">
        <f t="shared" ca="1" si="86"/>
        <v/>
      </c>
      <c r="AE565" s="9" t="str">
        <f t="shared" ca="1" si="87"/>
        <v/>
      </c>
      <c r="AF565" s="9" t="str">
        <f ca="1">IF(AND(Y565,AA565="ERREUR"),COUNTIF($AA$2:$AA565,"ERREUR"),"")</f>
        <v/>
      </c>
    </row>
    <row r="566" spans="23:32" ht="25" customHeight="1">
      <c r="W566" s="19">
        <f t="shared" ca="1" si="80"/>
        <v>45904</v>
      </c>
      <c r="X566" s="9" t="str">
        <f t="shared" ca="1" si="81"/>
        <v>04092025</v>
      </c>
      <c r="Y566" s="9" t="b">
        <f t="shared" ca="1" si="82"/>
        <v>0</v>
      </c>
      <c r="Z566" s="9" t="str">
        <f ca="1">IF(Y566,COUNTIF($Y$2:$Y566,TRUE),"")</f>
        <v/>
      </c>
      <c r="AA566" s="9" t="str">
        <f t="shared" ca="1" si="83"/>
        <v/>
      </c>
      <c r="AB566" s="9" t="str">
        <f t="shared" ca="1" si="84"/>
        <v/>
      </c>
      <c r="AC566" s="9" t="str">
        <f t="shared" ca="1" si="85"/>
        <v/>
      </c>
      <c r="AD566" s="9" t="str">
        <f t="shared" ca="1" si="86"/>
        <v/>
      </c>
      <c r="AE566" s="9" t="str">
        <f t="shared" ca="1" si="87"/>
        <v/>
      </c>
      <c r="AF566" s="9" t="str">
        <f ca="1">IF(AND(Y566,AA566="ERREUR"),COUNTIF($AA$2:$AA566,"ERREUR"),"")</f>
        <v/>
      </c>
    </row>
    <row r="567" spans="23:32" ht="25" customHeight="1">
      <c r="W567" s="19">
        <f t="shared" ca="1" si="80"/>
        <v>45903</v>
      </c>
      <c r="X567" s="9" t="str">
        <f t="shared" ca="1" si="81"/>
        <v>03092025</v>
      </c>
      <c r="Y567" s="9" t="b">
        <f t="shared" ca="1" si="82"/>
        <v>0</v>
      </c>
      <c r="Z567" s="9" t="str">
        <f ca="1">IF(Y567,COUNTIF($Y$2:$Y567,TRUE),"")</f>
        <v/>
      </c>
      <c r="AA567" s="9" t="str">
        <f t="shared" ca="1" si="83"/>
        <v/>
      </c>
      <c r="AB567" s="9" t="str">
        <f t="shared" ca="1" si="84"/>
        <v/>
      </c>
      <c r="AC567" s="9" t="str">
        <f t="shared" ca="1" si="85"/>
        <v/>
      </c>
      <c r="AD567" s="9" t="str">
        <f t="shared" ca="1" si="86"/>
        <v/>
      </c>
      <c r="AE567" s="9" t="str">
        <f t="shared" ca="1" si="87"/>
        <v/>
      </c>
      <c r="AF567" s="9" t="str">
        <f ca="1">IF(AND(Y567,AA567="ERREUR"),COUNTIF($AA$2:$AA567,"ERREUR"),"")</f>
        <v/>
      </c>
    </row>
    <row r="568" spans="23:32" ht="25" customHeight="1">
      <c r="W568" s="19">
        <f t="shared" ca="1" si="80"/>
        <v>45902</v>
      </c>
      <c r="X568" s="9" t="str">
        <f t="shared" ca="1" si="81"/>
        <v>02092025</v>
      </c>
      <c r="Y568" s="9" t="b">
        <f t="shared" ca="1" si="82"/>
        <v>0</v>
      </c>
      <c r="Z568" s="9" t="str">
        <f ca="1">IF(Y568,COUNTIF($Y$2:$Y568,TRUE),"")</f>
        <v/>
      </c>
      <c r="AA568" s="9" t="str">
        <f t="shared" ca="1" si="83"/>
        <v/>
      </c>
      <c r="AB568" s="9" t="str">
        <f t="shared" ca="1" si="84"/>
        <v/>
      </c>
      <c r="AC568" s="9" t="str">
        <f t="shared" ca="1" si="85"/>
        <v/>
      </c>
      <c r="AD568" s="9" t="str">
        <f t="shared" ca="1" si="86"/>
        <v/>
      </c>
      <c r="AE568" s="9" t="str">
        <f t="shared" ca="1" si="87"/>
        <v/>
      </c>
      <c r="AF568" s="9" t="str">
        <f ca="1">IF(AND(Y568,AA568="ERREUR"),COUNTIF($AA$2:$AA568,"ERREUR"),"")</f>
        <v/>
      </c>
    </row>
    <row r="569" spans="23:32" ht="25" customHeight="1">
      <c r="W569" s="19">
        <f t="shared" ca="1" si="80"/>
        <v>45901</v>
      </c>
      <c r="X569" s="9" t="str">
        <f t="shared" ca="1" si="81"/>
        <v>01092025</v>
      </c>
      <c r="Y569" s="9" t="b">
        <f t="shared" ca="1" si="82"/>
        <v>0</v>
      </c>
      <c r="Z569" s="9" t="str">
        <f ca="1">IF(Y569,COUNTIF($Y$2:$Y569,TRUE),"")</f>
        <v/>
      </c>
      <c r="AA569" s="9" t="str">
        <f t="shared" ca="1" si="83"/>
        <v/>
      </c>
      <c r="AB569" s="9" t="str">
        <f t="shared" ca="1" si="84"/>
        <v/>
      </c>
      <c r="AC569" s="9" t="str">
        <f t="shared" ca="1" si="85"/>
        <v/>
      </c>
      <c r="AD569" s="9" t="str">
        <f t="shared" ca="1" si="86"/>
        <v/>
      </c>
      <c r="AE569" s="9" t="str">
        <f t="shared" ca="1" si="87"/>
        <v/>
      </c>
      <c r="AF569" s="9" t="str">
        <f ca="1">IF(AND(Y569,AA569="ERREUR"),COUNTIF($AA$2:$AA569,"ERREUR"),"")</f>
        <v/>
      </c>
    </row>
    <row r="570" spans="23:32" ht="25" customHeight="1">
      <c r="W570" s="19">
        <f t="shared" ca="1" si="80"/>
        <v>45900</v>
      </c>
      <c r="X570" s="9" t="str">
        <f t="shared" ca="1" si="81"/>
        <v>31082025</v>
      </c>
      <c r="Y570" s="9" t="b">
        <f t="shared" ca="1" si="82"/>
        <v>0</v>
      </c>
      <c r="Z570" s="9" t="str">
        <f ca="1">IF(Y570,COUNTIF($Y$2:$Y570,TRUE),"")</f>
        <v/>
      </c>
      <c r="AA570" s="9" t="str">
        <f t="shared" ca="1" si="83"/>
        <v/>
      </c>
      <c r="AB570" s="9" t="str">
        <f t="shared" ca="1" si="84"/>
        <v/>
      </c>
      <c r="AC570" s="9" t="str">
        <f t="shared" ca="1" si="85"/>
        <v/>
      </c>
      <c r="AD570" s="9" t="str">
        <f t="shared" ca="1" si="86"/>
        <v/>
      </c>
      <c r="AE570" s="9" t="str">
        <f t="shared" ca="1" si="87"/>
        <v/>
      </c>
      <c r="AF570" s="9" t="str">
        <f ca="1">IF(AND(Y570,AA570="ERREUR"),COUNTIF($AA$2:$AA570,"ERREUR"),"")</f>
        <v/>
      </c>
    </row>
    <row r="571" spans="23:32" ht="25" customHeight="1">
      <c r="W571" s="19">
        <f t="shared" ca="1" si="80"/>
        <v>45899</v>
      </c>
      <c r="X571" s="9" t="str">
        <f t="shared" ca="1" si="81"/>
        <v>30082025</v>
      </c>
      <c r="Y571" s="9" t="b">
        <f t="shared" ca="1" si="82"/>
        <v>0</v>
      </c>
      <c r="Z571" s="9" t="str">
        <f ca="1">IF(Y571,COUNTIF($Y$2:$Y571,TRUE),"")</f>
        <v/>
      </c>
      <c r="AA571" s="9" t="str">
        <f t="shared" ca="1" si="83"/>
        <v/>
      </c>
      <c r="AB571" s="9" t="str">
        <f t="shared" ca="1" si="84"/>
        <v/>
      </c>
      <c r="AC571" s="9" t="str">
        <f t="shared" ca="1" si="85"/>
        <v/>
      </c>
      <c r="AD571" s="9" t="str">
        <f t="shared" ca="1" si="86"/>
        <v/>
      </c>
      <c r="AE571" s="9" t="str">
        <f t="shared" ca="1" si="87"/>
        <v/>
      </c>
      <c r="AF571" s="9" t="str">
        <f ca="1">IF(AND(Y571,AA571="ERREUR"),COUNTIF($AA$2:$AA571,"ERREUR"),"")</f>
        <v/>
      </c>
    </row>
    <row r="572" spans="23:32" ht="25" customHeight="1">
      <c r="W572" s="19">
        <f t="shared" ca="1" si="80"/>
        <v>45898</v>
      </c>
      <c r="X572" s="9" t="str">
        <f t="shared" ca="1" si="81"/>
        <v>29082025</v>
      </c>
      <c r="Y572" s="9" t="b">
        <f t="shared" ca="1" si="82"/>
        <v>0</v>
      </c>
      <c r="Z572" s="9" t="str">
        <f ca="1">IF(Y572,COUNTIF($Y$2:$Y572,TRUE),"")</f>
        <v/>
      </c>
      <c r="AA572" s="9" t="str">
        <f t="shared" ca="1" si="83"/>
        <v/>
      </c>
      <c r="AB572" s="9" t="str">
        <f t="shared" ca="1" si="84"/>
        <v/>
      </c>
      <c r="AC572" s="9" t="str">
        <f t="shared" ca="1" si="85"/>
        <v/>
      </c>
      <c r="AD572" s="9" t="str">
        <f t="shared" ca="1" si="86"/>
        <v/>
      </c>
      <c r="AE572" s="9" t="str">
        <f t="shared" ca="1" si="87"/>
        <v/>
      </c>
      <c r="AF572" s="9" t="str">
        <f ca="1">IF(AND(Y572,AA572="ERREUR"),COUNTIF($AA$2:$AA572,"ERREUR"),"")</f>
        <v/>
      </c>
    </row>
    <row r="573" spans="23:32" ht="25" customHeight="1">
      <c r="W573" s="19">
        <f t="shared" ca="1" si="80"/>
        <v>45897</v>
      </c>
      <c r="X573" s="9" t="str">
        <f t="shared" ca="1" si="81"/>
        <v>28082025</v>
      </c>
      <c r="Y573" s="9" t="b">
        <f t="shared" ca="1" si="82"/>
        <v>0</v>
      </c>
      <c r="Z573" s="9" t="str">
        <f ca="1">IF(Y573,COUNTIF($Y$2:$Y573,TRUE),"")</f>
        <v/>
      </c>
      <c r="AA573" s="9" t="str">
        <f t="shared" ca="1" si="83"/>
        <v/>
      </c>
      <c r="AB573" s="9" t="str">
        <f t="shared" ca="1" si="84"/>
        <v/>
      </c>
      <c r="AC573" s="9" t="str">
        <f t="shared" ca="1" si="85"/>
        <v/>
      </c>
      <c r="AD573" s="9" t="str">
        <f t="shared" ca="1" si="86"/>
        <v/>
      </c>
      <c r="AE573" s="9" t="str">
        <f t="shared" ca="1" si="87"/>
        <v/>
      </c>
      <c r="AF573" s="9" t="str">
        <f ca="1">IF(AND(Y573,AA573="ERREUR"),COUNTIF($AA$2:$AA573,"ERREUR"),"")</f>
        <v/>
      </c>
    </row>
    <row r="574" spans="23:32" ht="25" customHeight="1">
      <c r="W574" s="19">
        <f t="shared" ca="1" si="80"/>
        <v>45896</v>
      </c>
      <c r="X574" s="9" t="str">
        <f t="shared" ca="1" si="81"/>
        <v>27082025</v>
      </c>
      <c r="Y574" s="9" t="b">
        <f t="shared" ca="1" si="82"/>
        <v>0</v>
      </c>
      <c r="Z574" s="9" t="str">
        <f ca="1">IF(Y574,COUNTIF($Y$2:$Y574,TRUE),"")</f>
        <v/>
      </c>
      <c r="AA574" s="9" t="str">
        <f t="shared" ca="1" si="83"/>
        <v/>
      </c>
      <c r="AB574" s="9" t="str">
        <f t="shared" ca="1" si="84"/>
        <v/>
      </c>
      <c r="AC574" s="9" t="str">
        <f t="shared" ca="1" si="85"/>
        <v/>
      </c>
      <c r="AD574" s="9" t="str">
        <f t="shared" ca="1" si="86"/>
        <v/>
      </c>
      <c r="AE574" s="9" t="str">
        <f t="shared" ca="1" si="87"/>
        <v/>
      </c>
      <c r="AF574" s="9" t="str">
        <f ca="1">IF(AND(Y574,AA574="ERREUR"),COUNTIF($AA$2:$AA574,"ERREUR"),"")</f>
        <v/>
      </c>
    </row>
    <row r="575" spans="23:32" ht="25" customHeight="1">
      <c r="W575" s="19">
        <f t="shared" ca="1" si="80"/>
        <v>45895</v>
      </c>
      <c r="X575" s="9" t="str">
        <f t="shared" ca="1" si="81"/>
        <v>26082025</v>
      </c>
      <c r="Y575" s="9" t="b">
        <f t="shared" ca="1" si="82"/>
        <v>0</v>
      </c>
      <c r="Z575" s="9" t="str">
        <f ca="1">IF(Y575,COUNTIF($Y$2:$Y575,TRUE),"")</f>
        <v/>
      </c>
      <c r="AA575" s="9" t="str">
        <f t="shared" ca="1" si="83"/>
        <v/>
      </c>
      <c r="AB575" s="9" t="str">
        <f t="shared" ca="1" si="84"/>
        <v/>
      </c>
      <c r="AC575" s="9" t="str">
        <f t="shared" ca="1" si="85"/>
        <v/>
      </c>
      <c r="AD575" s="9" t="str">
        <f t="shared" ca="1" si="86"/>
        <v/>
      </c>
      <c r="AE575" s="9" t="str">
        <f t="shared" ca="1" si="87"/>
        <v/>
      </c>
      <c r="AF575" s="9" t="str">
        <f ca="1">IF(AND(Y575,AA575="ERREUR"),COUNTIF($AA$2:$AA575,"ERREUR"),"")</f>
        <v/>
      </c>
    </row>
    <row r="576" spans="23:32" ht="25" customHeight="1">
      <c r="W576" s="19">
        <f t="shared" ca="1" si="80"/>
        <v>45894</v>
      </c>
      <c r="X576" s="9" t="str">
        <f t="shared" ca="1" si="81"/>
        <v>25082025</v>
      </c>
      <c r="Y576" s="9" t="b">
        <f t="shared" ca="1" si="82"/>
        <v>0</v>
      </c>
      <c r="Z576" s="9" t="str">
        <f ca="1">IF(Y576,COUNTIF($Y$2:$Y576,TRUE),"")</f>
        <v/>
      </c>
      <c r="AA576" s="9" t="str">
        <f t="shared" ca="1" si="83"/>
        <v/>
      </c>
      <c r="AB576" s="9" t="str">
        <f t="shared" ca="1" si="84"/>
        <v/>
      </c>
      <c r="AC576" s="9" t="str">
        <f t="shared" ca="1" si="85"/>
        <v/>
      </c>
      <c r="AD576" s="9" t="str">
        <f t="shared" ca="1" si="86"/>
        <v/>
      </c>
      <c r="AE576" s="9" t="str">
        <f t="shared" ca="1" si="87"/>
        <v/>
      </c>
      <c r="AF576" s="9" t="str">
        <f ca="1">IF(AND(Y576,AA576="ERREUR"),COUNTIF($AA$2:$AA576,"ERREUR"),"")</f>
        <v/>
      </c>
    </row>
    <row r="577" spans="23:32" ht="25" customHeight="1">
      <c r="W577" s="19">
        <f t="shared" ca="1" si="80"/>
        <v>45893</v>
      </c>
      <c r="X577" s="9" t="str">
        <f t="shared" ca="1" si="81"/>
        <v>24082025</v>
      </c>
      <c r="Y577" s="9" t="b">
        <f t="shared" ca="1" si="82"/>
        <v>0</v>
      </c>
      <c r="Z577" s="9" t="str">
        <f ca="1">IF(Y577,COUNTIF($Y$2:$Y577,TRUE),"")</f>
        <v/>
      </c>
      <c r="AA577" s="9" t="str">
        <f t="shared" ca="1" si="83"/>
        <v/>
      </c>
      <c r="AB577" s="9" t="str">
        <f t="shared" ca="1" si="84"/>
        <v/>
      </c>
      <c r="AC577" s="9" t="str">
        <f t="shared" ca="1" si="85"/>
        <v/>
      </c>
      <c r="AD577" s="9" t="str">
        <f t="shared" ca="1" si="86"/>
        <v/>
      </c>
      <c r="AE577" s="9" t="str">
        <f t="shared" ca="1" si="87"/>
        <v/>
      </c>
      <c r="AF577" s="9" t="str">
        <f ca="1">IF(AND(Y577,AA577="ERREUR"),COUNTIF($AA$2:$AA577,"ERREUR"),"")</f>
        <v/>
      </c>
    </row>
    <row r="578" spans="23:32" ht="25" customHeight="1">
      <c r="W578" s="19">
        <f t="shared" ref="W578:W641" ca="1" si="88">TODAY()+365-ROW()+2</f>
        <v>45892</v>
      </c>
      <c r="X578" s="9" t="str">
        <f t="shared" ref="X578:X641" ca="1" si="89">RIGHT("0"&amp;DAY(W578),2)&amp;RIGHT("0"&amp;MONTH(W578),2)&amp;YEAR(W578)</f>
        <v>23082025</v>
      </c>
      <c r="Y578" s="9" t="b">
        <f t="shared" ref="Y578:Y641" ca="1" si="90">IFERROR(INDIRECT(CHAR(39)&amp;X578&amp;CHAR(39)&amp;"!C3")="DATE DE CAISSE",FALSE)</f>
        <v>0</v>
      </c>
      <c r="Z578" s="9" t="str">
        <f ca="1">IF(Y578,COUNTIF($Y$2:$Y578,TRUE),"")</f>
        <v/>
      </c>
      <c r="AA578" s="9" t="str">
        <f t="shared" ref="AA578:AA641" ca="1" si="91">IF($Y578,IFERROR(IF(INDIRECT(CHAR(39)&amp;$X578&amp;CHAR(39)&amp;"!P3")="VIDE","NON SAISIE",INDIRECT(CHAR(39)&amp;$X578&amp;CHAR(39)&amp;"!P3")),""),"")</f>
        <v/>
      </c>
      <c r="AB578" s="9" t="str">
        <f t="shared" ref="AB578:AB641" ca="1" si="92">IF($Y578,IFERROR(INDIRECT(CHAR(39)&amp;$X578&amp;CHAR(39)&amp;"!M59"),""),"")</f>
        <v/>
      </c>
      <c r="AC578" s="9" t="str">
        <f t="shared" ref="AC578:AC641" ca="1" si="93">IF(Y578,IFERROR(INDIRECT(CHAR(39)&amp;X578&amp;CHAR(39)&amp;"!M3"),""),"")</f>
        <v/>
      </c>
      <c r="AD578" s="9" t="str">
        <f t="shared" ref="AD578:AD641" ca="1" si="94">IF(Y578,IFERROR(INDIRECT(CHAR(39)&amp;X578&amp;CHAR(39)&amp;"!M60"),""),"")</f>
        <v/>
      </c>
      <c r="AE578" s="9" t="str">
        <f t="shared" ref="AE578:AE641" ca="1" si="95">IF($Y578,IF($AA578="OK","RAS",IF($AA578="NON SAISIE","Non saisie",IF($AC578&lt;&gt;0,"Ecart de saisie",IF($AD578&lt;&gt;0,"Ecart de caisse",IF(IFERROR(COUNTIF(INDIRECT(CHAR(39)&amp;$X578&amp;CHAR(39)&amp;"!M11:M40"),"ERREUR"),0)&gt;0,"Lignes facture",IF(IFERROR(COUNTIF(INDIRECT(CHAR(39)&amp;$X578&amp;CHAR(39)&amp;"!N47:N50"),"&lt;&gt;OK"),0)&gt;0,"Controle banque","A verifier")))))),"")</f>
        <v/>
      </c>
      <c r="AF578" s="9" t="str">
        <f ca="1">IF(AND(Y578,AA578="ERREUR"),COUNTIF($AA$2:$AA578,"ERREUR"),"")</f>
        <v/>
      </c>
    </row>
    <row r="579" spans="23:32" ht="25" customHeight="1">
      <c r="W579" s="19">
        <f t="shared" ca="1" si="88"/>
        <v>45891</v>
      </c>
      <c r="X579" s="9" t="str">
        <f t="shared" ca="1" si="89"/>
        <v>22082025</v>
      </c>
      <c r="Y579" s="9" t="b">
        <f t="shared" ca="1" si="90"/>
        <v>0</v>
      </c>
      <c r="Z579" s="9" t="str">
        <f ca="1">IF(Y579,COUNTIF($Y$2:$Y579,TRUE),"")</f>
        <v/>
      </c>
      <c r="AA579" s="9" t="str">
        <f t="shared" ca="1" si="91"/>
        <v/>
      </c>
      <c r="AB579" s="9" t="str">
        <f t="shared" ca="1" si="92"/>
        <v/>
      </c>
      <c r="AC579" s="9" t="str">
        <f t="shared" ca="1" si="93"/>
        <v/>
      </c>
      <c r="AD579" s="9" t="str">
        <f t="shared" ca="1" si="94"/>
        <v/>
      </c>
      <c r="AE579" s="9" t="str">
        <f t="shared" ca="1" si="95"/>
        <v/>
      </c>
      <c r="AF579" s="9" t="str">
        <f ca="1">IF(AND(Y579,AA579="ERREUR"),COUNTIF($AA$2:$AA579,"ERREUR"),"")</f>
        <v/>
      </c>
    </row>
    <row r="580" spans="23:32" ht="25" customHeight="1">
      <c r="W580" s="19">
        <f t="shared" ca="1" si="88"/>
        <v>45890</v>
      </c>
      <c r="X580" s="9" t="str">
        <f t="shared" ca="1" si="89"/>
        <v>21082025</v>
      </c>
      <c r="Y580" s="9" t="b">
        <f t="shared" ca="1" si="90"/>
        <v>0</v>
      </c>
      <c r="Z580" s="9" t="str">
        <f ca="1">IF(Y580,COUNTIF($Y$2:$Y580,TRUE),"")</f>
        <v/>
      </c>
      <c r="AA580" s="9" t="str">
        <f t="shared" ca="1" si="91"/>
        <v/>
      </c>
      <c r="AB580" s="9" t="str">
        <f t="shared" ca="1" si="92"/>
        <v/>
      </c>
      <c r="AC580" s="9" t="str">
        <f t="shared" ca="1" si="93"/>
        <v/>
      </c>
      <c r="AD580" s="9" t="str">
        <f t="shared" ca="1" si="94"/>
        <v/>
      </c>
      <c r="AE580" s="9" t="str">
        <f t="shared" ca="1" si="95"/>
        <v/>
      </c>
      <c r="AF580" s="9" t="str">
        <f ca="1">IF(AND(Y580,AA580="ERREUR"),COUNTIF($AA$2:$AA580,"ERREUR"),"")</f>
        <v/>
      </c>
    </row>
    <row r="581" spans="23:32" ht="25" customHeight="1">
      <c r="W581" s="19">
        <f t="shared" ca="1" si="88"/>
        <v>45889</v>
      </c>
      <c r="X581" s="9" t="str">
        <f t="shared" ca="1" si="89"/>
        <v>20082025</v>
      </c>
      <c r="Y581" s="9" t="b">
        <f t="shared" ca="1" si="90"/>
        <v>0</v>
      </c>
      <c r="Z581" s="9" t="str">
        <f ca="1">IF(Y581,COUNTIF($Y$2:$Y581,TRUE),"")</f>
        <v/>
      </c>
      <c r="AA581" s="9" t="str">
        <f t="shared" ca="1" si="91"/>
        <v/>
      </c>
      <c r="AB581" s="9" t="str">
        <f t="shared" ca="1" si="92"/>
        <v/>
      </c>
      <c r="AC581" s="9" t="str">
        <f t="shared" ca="1" si="93"/>
        <v/>
      </c>
      <c r="AD581" s="9" t="str">
        <f t="shared" ca="1" si="94"/>
        <v/>
      </c>
      <c r="AE581" s="9" t="str">
        <f t="shared" ca="1" si="95"/>
        <v/>
      </c>
      <c r="AF581" s="9" t="str">
        <f ca="1">IF(AND(Y581,AA581="ERREUR"),COUNTIF($AA$2:$AA581,"ERREUR"),"")</f>
        <v/>
      </c>
    </row>
    <row r="582" spans="23:32" ht="25" customHeight="1">
      <c r="W582" s="19">
        <f t="shared" ca="1" si="88"/>
        <v>45888</v>
      </c>
      <c r="X582" s="9" t="str">
        <f t="shared" ca="1" si="89"/>
        <v>19082025</v>
      </c>
      <c r="Y582" s="9" t="b">
        <f t="shared" ca="1" si="90"/>
        <v>0</v>
      </c>
      <c r="Z582" s="9" t="str">
        <f ca="1">IF(Y582,COUNTIF($Y$2:$Y582,TRUE),"")</f>
        <v/>
      </c>
      <c r="AA582" s="9" t="str">
        <f t="shared" ca="1" si="91"/>
        <v/>
      </c>
      <c r="AB582" s="9" t="str">
        <f t="shared" ca="1" si="92"/>
        <v/>
      </c>
      <c r="AC582" s="9" t="str">
        <f t="shared" ca="1" si="93"/>
        <v/>
      </c>
      <c r="AD582" s="9" t="str">
        <f t="shared" ca="1" si="94"/>
        <v/>
      </c>
      <c r="AE582" s="9" t="str">
        <f t="shared" ca="1" si="95"/>
        <v/>
      </c>
      <c r="AF582" s="9" t="str">
        <f ca="1">IF(AND(Y582,AA582="ERREUR"),COUNTIF($AA$2:$AA582,"ERREUR"),"")</f>
        <v/>
      </c>
    </row>
    <row r="583" spans="23:32" ht="25" customHeight="1">
      <c r="W583" s="19">
        <f t="shared" ca="1" si="88"/>
        <v>45887</v>
      </c>
      <c r="X583" s="9" t="str">
        <f t="shared" ca="1" si="89"/>
        <v>18082025</v>
      </c>
      <c r="Y583" s="9" t="b">
        <f t="shared" ca="1" si="90"/>
        <v>0</v>
      </c>
      <c r="Z583" s="9" t="str">
        <f ca="1">IF(Y583,COUNTIF($Y$2:$Y583,TRUE),"")</f>
        <v/>
      </c>
      <c r="AA583" s="9" t="str">
        <f t="shared" ca="1" si="91"/>
        <v/>
      </c>
      <c r="AB583" s="9" t="str">
        <f t="shared" ca="1" si="92"/>
        <v/>
      </c>
      <c r="AC583" s="9" t="str">
        <f t="shared" ca="1" si="93"/>
        <v/>
      </c>
      <c r="AD583" s="9" t="str">
        <f t="shared" ca="1" si="94"/>
        <v/>
      </c>
      <c r="AE583" s="9" t="str">
        <f t="shared" ca="1" si="95"/>
        <v/>
      </c>
      <c r="AF583" s="9" t="str">
        <f ca="1">IF(AND(Y583,AA583="ERREUR"),COUNTIF($AA$2:$AA583,"ERREUR"),"")</f>
        <v/>
      </c>
    </row>
    <row r="584" spans="23:32" ht="25" customHeight="1">
      <c r="W584" s="19">
        <f t="shared" ca="1" si="88"/>
        <v>45886</v>
      </c>
      <c r="X584" s="9" t="str">
        <f t="shared" ca="1" si="89"/>
        <v>17082025</v>
      </c>
      <c r="Y584" s="9" t="b">
        <f t="shared" ca="1" si="90"/>
        <v>0</v>
      </c>
      <c r="Z584" s="9" t="str">
        <f ca="1">IF(Y584,COUNTIF($Y$2:$Y584,TRUE),"")</f>
        <v/>
      </c>
      <c r="AA584" s="9" t="str">
        <f t="shared" ca="1" si="91"/>
        <v/>
      </c>
      <c r="AB584" s="9" t="str">
        <f t="shared" ca="1" si="92"/>
        <v/>
      </c>
      <c r="AC584" s="9" t="str">
        <f t="shared" ca="1" si="93"/>
        <v/>
      </c>
      <c r="AD584" s="9" t="str">
        <f t="shared" ca="1" si="94"/>
        <v/>
      </c>
      <c r="AE584" s="9" t="str">
        <f t="shared" ca="1" si="95"/>
        <v/>
      </c>
      <c r="AF584" s="9" t="str">
        <f ca="1">IF(AND(Y584,AA584="ERREUR"),COUNTIF($AA$2:$AA584,"ERREUR"),"")</f>
        <v/>
      </c>
    </row>
    <row r="585" spans="23:32" ht="25" customHeight="1">
      <c r="W585" s="19">
        <f t="shared" ca="1" si="88"/>
        <v>45885</v>
      </c>
      <c r="X585" s="9" t="str">
        <f t="shared" ca="1" si="89"/>
        <v>16082025</v>
      </c>
      <c r="Y585" s="9" t="b">
        <f t="shared" ca="1" si="90"/>
        <v>0</v>
      </c>
      <c r="Z585" s="9" t="str">
        <f ca="1">IF(Y585,COUNTIF($Y$2:$Y585,TRUE),"")</f>
        <v/>
      </c>
      <c r="AA585" s="9" t="str">
        <f t="shared" ca="1" si="91"/>
        <v/>
      </c>
      <c r="AB585" s="9" t="str">
        <f t="shared" ca="1" si="92"/>
        <v/>
      </c>
      <c r="AC585" s="9" t="str">
        <f t="shared" ca="1" si="93"/>
        <v/>
      </c>
      <c r="AD585" s="9" t="str">
        <f t="shared" ca="1" si="94"/>
        <v/>
      </c>
      <c r="AE585" s="9" t="str">
        <f t="shared" ca="1" si="95"/>
        <v/>
      </c>
      <c r="AF585" s="9" t="str">
        <f ca="1">IF(AND(Y585,AA585="ERREUR"),COUNTIF($AA$2:$AA585,"ERREUR"),"")</f>
        <v/>
      </c>
    </row>
    <row r="586" spans="23:32" ht="25" customHeight="1">
      <c r="W586" s="19">
        <f t="shared" ca="1" si="88"/>
        <v>45884</v>
      </c>
      <c r="X586" s="9" t="str">
        <f t="shared" ca="1" si="89"/>
        <v>15082025</v>
      </c>
      <c r="Y586" s="9" t="b">
        <f t="shared" ca="1" si="90"/>
        <v>0</v>
      </c>
      <c r="Z586" s="9" t="str">
        <f ca="1">IF(Y586,COUNTIF($Y$2:$Y586,TRUE),"")</f>
        <v/>
      </c>
      <c r="AA586" s="9" t="str">
        <f t="shared" ca="1" si="91"/>
        <v/>
      </c>
      <c r="AB586" s="9" t="str">
        <f t="shared" ca="1" si="92"/>
        <v/>
      </c>
      <c r="AC586" s="9" t="str">
        <f t="shared" ca="1" si="93"/>
        <v/>
      </c>
      <c r="AD586" s="9" t="str">
        <f t="shared" ca="1" si="94"/>
        <v/>
      </c>
      <c r="AE586" s="9" t="str">
        <f t="shared" ca="1" si="95"/>
        <v/>
      </c>
      <c r="AF586" s="9" t="str">
        <f ca="1">IF(AND(Y586,AA586="ERREUR"),COUNTIF($AA$2:$AA586,"ERREUR"),"")</f>
        <v/>
      </c>
    </row>
    <row r="587" spans="23:32" ht="25" customHeight="1">
      <c r="W587" s="19">
        <f t="shared" ca="1" si="88"/>
        <v>45883</v>
      </c>
      <c r="X587" s="9" t="str">
        <f t="shared" ca="1" si="89"/>
        <v>14082025</v>
      </c>
      <c r="Y587" s="9" t="b">
        <f t="shared" ca="1" si="90"/>
        <v>0</v>
      </c>
      <c r="Z587" s="9" t="str">
        <f ca="1">IF(Y587,COUNTIF($Y$2:$Y587,TRUE),"")</f>
        <v/>
      </c>
      <c r="AA587" s="9" t="str">
        <f t="shared" ca="1" si="91"/>
        <v/>
      </c>
      <c r="AB587" s="9" t="str">
        <f t="shared" ca="1" si="92"/>
        <v/>
      </c>
      <c r="AC587" s="9" t="str">
        <f t="shared" ca="1" si="93"/>
        <v/>
      </c>
      <c r="AD587" s="9" t="str">
        <f t="shared" ca="1" si="94"/>
        <v/>
      </c>
      <c r="AE587" s="9" t="str">
        <f t="shared" ca="1" si="95"/>
        <v/>
      </c>
      <c r="AF587" s="9" t="str">
        <f ca="1">IF(AND(Y587,AA587="ERREUR"),COUNTIF($AA$2:$AA587,"ERREUR"),"")</f>
        <v/>
      </c>
    </row>
    <row r="588" spans="23:32" ht="25" customHeight="1">
      <c r="W588" s="19">
        <f t="shared" ca="1" si="88"/>
        <v>45882</v>
      </c>
      <c r="X588" s="9" t="str">
        <f t="shared" ca="1" si="89"/>
        <v>13082025</v>
      </c>
      <c r="Y588" s="9" t="b">
        <f t="shared" ca="1" si="90"/>
        <v>0</v>
      </c>
      <c r="Z588" s="9" t="str">
        <f ca="1">IF(Y588,COUNTIF($Y$2:$Y588,TRUE),"")</f>
        <v/>
      </c>
      <c r="AA588" s="9" t="str">
        <f t="shared" ca="1" si="91"/>
        <v/>
      </c>
      <c r="AB588" s="9" t="str">
        <f t="shared" ca="1" si="92"/>
        <v/>
      </c>
      <c r="AC588" s="9" t="str">
        <f t="shared" ca="1" si="93"/>
        <v/>
      </c>
      <c r="AD588" s="9" t="str">
        <f t="shared" ca="1" si="94"/>
        <v/>
      </c>
      <c r="AE588" s="9" t="str">
        <f t="shared" ca="1" si="95"/>
        <v/>
      </c>
      <c r="AF588" s="9" t="str">
        <f ca="1">IF(AND(Y588,AA588="ERREUR"),COUNTIF($AA$2:$AA588,"ERREUR"),"")</f>
        <v/>
      </c>
    </row>
    <row r="589" spans="23:32" ht="25" customHeight="1">
      <c r="W589" s="19">
        <f t="shared" ca="1" si="88"/>
        <v>45881</v>
      </c>
      <c r="X589" s="9" t="str">
        <f t="shared" ca="1" si="89"/>
        <v>12082025</v>
      </c>
      <c r="Y589" s="9" t="b">
        <f t="shared" ca="1" si="90"/>
        <v>0</v>
      </c>
      <c r="Z589" s="9" t="str">
        <f ca="1">IF(Y589,COUNTIF($Y$2:$Y589,TRUE),"")</f>
        <v/>
      </c>
      <c r="AA589" s="9" t="str">
        <f t="shared" ca="1" si="91"/>
        <v/>
      </c>
      <c r="AB589" s="9" t="str">
        <f t="shared" ca="1" si="92"/>
        <v/>
      </c>
      <c r="AC589" s="9" t="str">
        <f t="shared" ca="1" si="93"/>
        <v/>
      </c>
      <c r="AD589" s="9" t="str">
        <f t="shared" ca="1" si="94"/>
        <v/>
      </c>
      <c r="AE589" s="9" t="str">
        <f t="shared" ca="1" si="95"/>
        <v/>
      </c>
      <c r="AF589" s="9" t="str">
        <f ca="1">IF(AND(Y589,AA589="ERREUR"),COUNTIF($AA$2:$AA589,"ERREUR"),"")</f>
        <v/>
      </c>
    </row>
    <row r="590" spans="23:32" ht="25" customHeight="1">
      <c r="W590" s="19">
        <f t="shared" ca="1" si="88"/>
        <v>45880</v>
      </c>
      <c r="X590" s="9" t="str">
        <f t="shared" ca="1" si="89"/>
        <v>11082025</v>
      </c>
      <c r="Y590" s="9" t="b">
        <f t="shared" ca="1" si="90"/>
        <v>0</v>
      </c>
      <c r="Z590" s="9" t="str">
        <f ca="1">IF(Y590,COUNTIF($Y$2:$Y590,TRUE),"")</f>
        <v/>
      </c>
      <c r="AA590" s="9" t="str">
        <f t="shared" ca="1" si="91"/>
        <v/>
      </c>
      <c r="AB590" s="9" t="str">
        <f t="shared" ca="1" si="92"/>
        <v/>
      </c>
      <c r="AC590" s="9" t="str">
        <f t="shared" ca="1" si="93"/>
        <v/>
      </c>
      <c r="AD590" s="9" t="str">
        <f t="shared" ca="1" si="94"/>
        <v/>
      </c>
      <c r="AE590" s="9" t="str">
        <f t="shared" ca="1" si="95"/>
        <v/>
      </c>
      <c r="AF590" s="9" t="str">
        <f ca="1">IF(AND(Y590,AA590="ERREUR"),COUNTIF($AA$2:$AA590,"ERREUR"),"")</f>
        <v/>
      </c>
    </row>
    <row r="591" spans="23:32" ht="25" customHeight="1">
      <c r="W591" s="19">
        <f t="shared" ca="1" si="88"/>
        <v>45879</v>
      </c>
      <c r="X591" s="9" t="str">
        <f t="shared" ca="1" si="89"/>
        <v>10082025</v>
      </c>
      <c r="Y591" s="9" t="b">
        <f t="shared" ca="1" si="90"/>
        <v>0</v>
      </c>
      <c r="Z591" s="9" t="str">
        <f ca="1">IF(Y591,COUNTIF($Y$2:$Y591,TRUE),"")</f>
        <v/>
      </c>
      <c r="AA591" s="9" t="str">
        <f t="shared" ca="1" si="91"/>
        <v/>
      </c>
      <c r="AB591" s="9" t="str">
        <f t="shared" ca="1" si="92"/>
        <v/>
      </c>
      <c r="AC591" s="9" t="str">
        <f t="shared" ca="1" si="93"/>
        <v/>
      </c>
      <c r="AD591" s="9" t="str">
        <f t="shared" ca="1" si="94"/>
        <v/>
      </c>
      <c r="AE591" s="9" t="str">
        <f t="shared" ca="1" si="95"/>
        <v/>
      </c>
      <c r="AF591" s="9" t="str">
        <f ca="1">IF(AND(Y591,AA591="ERREUR"),COUNTIF($AA$2:$AA591,"ERREUR"),"")</f>
        <v/>
      </c>
    </row>
    <row r="592" spans="23:32" ht="25" customHeight="1">
      <c r="W592" s="19">
        <f t="shared" ca="1" si="88"/>
        <v>45878</v>
      </c>
      <c r="X592" s="9" t="str">
        <f t="shared" ca="1" si="89"/>
        <v>09082025</v>
      </c>
      <c r="Y592" s="9" t="b">
        <f t="shared" ca="1" si="90"/>
        <v>0</v>
      </c>
      <c r="Z592" s="9" t="str">
        <f ca="1">IF(Y592,COUNTIF($Y$2:$Y592,TRUE),"")</f>
        <v/>
      </c>
      <c r="AA592" s="9" t="str">
        <f t="shared" ca="1" si="91"/>
        <v/>
      </c>
      <c r="AB592" s="9" t="str">
        <f t="shared" ca="1" si="92"/>
        <v/>
      </c>
      <c r="AC592" s="9" t="str">
        <f t="shared" ca="1" si="93"/>
        <v/>
      </c>
      <c r="AD592" s="9" t="str">
        <f t="shared" ca="1" si="94"/>
        <v/>
      </c>
      <c r="AE592" s="9" t="str">
        <f t="shared" ca="1" si="95"/>
        <v/>
      </c>
      <c r="AF592" s="9" t="str">
        <f ca="1">IF(AND(Y592,AA592="ERREUR"),COUNTIF($AA$2:$AA592,"ERREUR"),"")</f>
        <v/>
      </c>
    </row>
    <row r="593" spans="23:32" ht="25" customHeight="1">
      <c r="W593" s="19">
        <f t="shared" ca="1" si="88"/>
        <v>45877</v>
      </c>
      <c r="X593" s="9" t="str">
        <f t="shared" ca="1" si="89"/>
        <v>08082025</v>
      </c>
      <c r="Y593" s="9" t="b">
        <f t="shared" ca="1" si="90"/>
        <v>0</v>
      </c>
      <c r="Z593" s="9" t="str">
        <f ca="1">IF(Y593,COUNTIF($Y$2:$Y593,TRUE),"")</f>
        <v/>
      </c>
      <c r="AA593" s="9" t="str">
        <f t="shared" ca="1" si="91"/>
        <v/>
      </c>
      <c r="AB593" s="9" t="str">
        <f t="shared" ca="1" si="92"/>
        <v/>
      </c>
      <c r="AC593" s="9" t="str">
        <f t="shared" ca="1" si="93"/>
        <v/>
      </c>
      <c r="AD593" s="9" t="str">
        <f t="shared" ca="1" si="94"/>
        <v/>
      </c>
      <c r="AE593" s="9" t="str">
        <f t="shared" ca="1" si="95"/>
        <v/>
      </c>
      <c r="AF593" s="9" t="str">
        <f ca="1">IF(AND(Y593,AA593="ERREUR"),COUNTIF($AA$2:$AA593,"ERREUR"),"")</f>
        <v/>
      </c>
    </row>
    <row r="594" spans="23:32" ht="25" customHeight="1">
      <c r="W594" s="19">
        <f t="shared" ca="1" si="88"/>
        <v>45876</v>
      </c>
      <c r="X594" s="9" t="str">
        <f t="shared" ca="1" si="89"/>
        <v>07082025</v>
      </c>
      <c r="Y594" s="9" t="b">
        <f t="shared" ca="1" si="90"/>
        <v>0</v>
      </c>
      <c r="Z594" s="9" t="str">
        <f ca="1">IF(Y594,COUNTIF($Y$2:$Y594,TRUE),"")</f>
        <v/>
      </c>
      <c r="AA594" s="9" t="str">
        <f t="shared" ca="1" si="91"/>
        <v/>
      </c>
      <c r="AB594" s="9" t="str">
        <f t="shared" ca="1" si="92"/>
        <v/>
      </c>
      <c r="AC594" s="9" t="str">
        <f t="shared" ca="1" si="93"/>
        <v/>
      </c>
      <c r="AD594" s="9" t="str">
        <f t="shared" ca="1" si="94"/>
        <v/>
      </c>
      <c r="AE594" s="9" t="str">
        <f t="shared" ca="1" si="95"/>
        <v/>
      </c>
      <c r="AF594" s="9" t="str">
        <f ca="1">IF(AND(Y594,AA594="ERREUR"),COUNTIF($AA$2:$AA594,"ERREUR"),"")</f>
        <v/>
      </c>
    </row>
    <row r="595" spans="23:32" ht="25" customHeight="1">
      <c r="W595" s="19">
        <f t="shared" ca="1" si="88"/>
        <v>45875</v>
      </c>
      <c r="X595" s="9" t="str">
        <f t="shared" ca="1" si="89"/>
        <v>06082025</v>
      </c>
      <c r="Y595" s="9" t="b">
        <f t="shared" ca="1" si="90"/>
        <v>0</v>
      </c>
      <c r="Z595" s="9" t="str">
        <f ca="1">IF(Y595,COUNTIF($Y$2:$Y595,TRUE),"")</f>
        <v/>
      </c>
      <c r="AA595" s="9" t="str">
        <f t="shared" ca="1" si="91"/>
        <v/>
      </c>
      <c r="AB595" s="9" t="str">
        <f t="shared" ca="1" si="92"/>
        <v/>
      </c>
      <c r="AC595" s="9" t="str">
        <f t="shared" ca="1" si="93"/>
        <v/>
      </c>
      <c r="AD595" s="9" t="str">
        <f t="shared" ca="1" si="94"/>
        <v/>
      </c>
      <c r="AE595" s="9" t="str">
        <f t="shared" ca="1" si="95"/>
        <v/>
      </c>
      <c r="AF595" s="9" t="str">
        <f ca="1">IF(AND(Y595,AA595="ERREUR"),COUNTIF($AA$2:$AA595,"ERREUR"),"")</f>
        <v/>
      </c>
    </row>
    <row r="596" spans="23:32" ht="25" customHeight="1">
      <c r="W596" s="19">
        <f t="shared" ca="1" si="88"/>
        <v>45874</v>
      </c>
      <c r="X596" s="9" t="str">
        <f t="shared" ca="1" si="89"/>
        <v>05082025</v>
      </c>
      <c r="Y596" s="9" t="b">
        <f t="shared" ca="1" si="90"/>
        <v>0</v>
      </c>
      <c r="Z596" s="9" t="str">
        <f ca="1">IF(Y596,COUNTIF($Y$2:$Y596,TRUE),"")</f>
        <v/>
      </c>
      <c r="AA596" s="9" t="str">
        <f t="shared" ca="1" si="91"/>
        <v/>
      </c>
      <c r="AB596" s="9" t="str">
        <f t="shared" ca="1" si="92"/>
        <v/>
      </c>
      <c r="AC596" s="9" t="str">
        <f t="shared" ca="1" si="93"/>
        <v/>
      </c>
      <c r="AD596" s="9" t="str">
        <f t="shared" ca="1" si="94"/>
        <v/>
      </c>
      <c r="AE596" s="9" t="str">
        <f t="shared" ca="1" si="95"/>
        <v/>
      </c>
      <c r="AF596" s="9" t="str">
        <f ca="1">IF(AND(Y596,AA596="ERREUR"),COUNTIF($AA$2:$AA596,"ERREUR"),"")</f>
        <v/>
      </c>
    </row>
    <row r="597" spans="23:32" ht="25" customHeight="1">
      <c r="W597" s="19">
        <f t="shared" ca="1" si="88"/>
        <v>45873</v>
      </c>
      <c r="X597" s="9" t="str">
        <f t="shared" ca="1" si="89"/>
        <v>04082025</v>
      </c>
      <c r="Y597" s="9" t="b">
        <f t="shared" ca="1" si="90"/>
        <v>0</v>
      </c>
      <c r="Z597" s="9" t="str">
        <f ca="1">IF(Y597,COUNTIF($Y$2:$Y597,TRUE),"")</f>
        <v/>
      </c>
      <c r="AA597" s="9" t="str">
        <f t="shared" ca="1" si="91"/>
        <v/>
      </c>
      <c r="AB597" s="9" t="str">
        <f t="shared" ca="1" si="92"/>
        <v/>
      </c>
      <c r="AC597" s="9" t="str">
        <f t="shared" ca="1" si="93"/>
        <v/>
      </c>
      <c r="AD597" s="9" t="str">
        <f t="shared" ca="1" si="94"/>
        <v/>
      </c>
      <c r="AE597" s="9" t="str">
        <f t="shared" ca="1" si="95"/>
        <v/>
      </c>
      <c r="AF597" s="9" t="str">
        <f ca="1">IF(AND(Y597,AA597="ERREUR"),COUNTIF($AA$2:$AA597,"ERREUR"),"")</f>
        <v/>
      </c>
    </row>
    <row r="598" spans="23:32" ht="25" customHeight="1">
      <c r="W598" s="19">
        <f t="shared" ca="1" si="88"/>
        <v>45872</v>
      </c>
      <c r="X598" s="9" t="str">
        <f t="shared" ca="1" si="89"/>
        <v>03082025</v>
      </c>
      <c r="Y598" s="9" t="b">
        <f t="shared" ca="1" si="90"/>
        <v>0</v>
      </c>
      <c r="Z598" s="9" t="str">
        <f ca="1">IF(Y598,COUNTIF($Y$2:$Y598,TRUE),"")</f>
        <v/>
      </c>
      <c r="AA598" s="9" t="str">
        <f t="shared" ca="1" si="91"/>
        <v/>
      </c>
      <c r="AB598" s="9" t="str">
        <f t="shared" ca="1" si="92"/>
        <v/>
      </c>
      <c r="AC598" s="9" t="str">
        <f t="shared" ca="1" si="93"/>
        <v/>
      </c>
      <c r="AD598" s="9" t="str">
        <f t="shared" ca="1" si="94"/>
        <v/>
      </c>
      <c r="AE598" s="9" t="str">
        <f t="shared" ca="1" si="95"/>
        <v/>
      </c>
      <c r="AF598" s="9" t="str">
        <f ca="1">IF(AND(Y598,AA598="ERREUR"),COUNTIF($AA$2:$AA598,"ERREUR"),"")</f>
        <v/>
      </c>
    </row>
    <row r="599" spans="23:32" ht="25" customHeight="1">
      <c r="W599" s="19">
        <f t="shared" ca="1" si="88"/>
        <v>45871</v>
      </c>
      <c r="X599" s="9" t="str">
        <f t="shared" ca="1" si="89"/>
        <v>02082025</v>
      </c>
      <c r="Y599" s="9" t="b">
        <f t="shared" ca="1" si="90"/>
        <v>0</v>
      </c>
      <c r="Z599" s="9" t="str">
        <f ca="1">IF(Y599,COUNTIF($Y$2:$Y599,TRUE),"")</f>
        <v/>
      </c>
      <c r="AA599" s="9" t="str">
        <f t="shared" ca="1" si="91"/>
        <v/>
      </c>
      <c r="AB599" s="9" t="str">
        <f t="shared" ca="1" si="92"/>
        <v/>
      </c>
      <c r="AC599" s="9" t="str">
        <f t="shared" ca="1" si="93"/>
        <v/>
      </c>
      <c r="AD599" s="9" t="str">
        <f t="shared" ca="1" si="94"/>
        <v/>
      </c>
      <c r="AE599" s="9" t="str">
        <f t="shared" ca="1" si="95"/>
        <v/>
      </c>
      <c r="AF599" s="9" t="str">
        <f ca="1">IF(AND(Y599,AA599="ERREUR"),COUNTIF($AA$2:$AA599,"ERREUR"),"")</f>
        <v/>
      </c>
    </row>
    <row r="600" spans="23:32" ht="25" customHeight="1">
      <c r="W600" s="19">
        <f t="shared" ca="1" si="88"/>
        <v>45870</v>
      </c>
      <c r="X600" s="9" t="str">
        <f t="shared" ca="1" si="89"/>
        <v>01082025</v>
      </c>
      <c r="Y600" s="9" t="b">
        <f t="shared" ca="1" si="90"/>
        <v>0</v>
      </c>
      <c r="Z600" s="9" t="str">
        <f ca="1">IF(Y600,COUNTIF($Y$2:$Y600,TRUE),"")</f>
        <v/>
      </c>
      <c r="AA600" s="9" t="str">
        <f t="shared" ca="1" si="91"/>
        <v/>
      </c>
      <c r="AB600" s="9" t="str">
        <f t="shared" ca="1" si="92"/>
        <v/>
      </c>
      <c r="AC600" s="9" t="str">
        <f t="shared" ca="1" si="93"/>
        <v/>
      </c>
      <c r="AD600" s="9" t="str">
        <f t="shared" ca="1" si="94"/>
        <v/>
      </c>
      <c r="AE600" s="9" t="str">
        <f t="shared" ca="1" si="95"/>
        <v/>
      </c>
      <c r="AF600" s="9" t="str">
        <f ca="1">IF(AND(Y600,AA600="ERREUR"),COUNTIF($AA$2:$AA600,"ERREUR"),"")</f>
        <v/>
      </c>
    </row>
    <row r="601" spans="23:32" ht="25" customHeight="1">
      <c r="W601" s="19">
        <f t="shared" ca="1" si="88"/>
        <v>45869</v>
      </c>
      <c r="X601" s="9" t="str">
        <f t="shared" ca="1" si="89"/>
        <v>31072025</v>
      </c>
      <c r="Y601" s="9" t="b">
        <f t="shared" ca="1" si="90"/>
        <v>0</v>
      </c>
      <c r="Z601" s="9" t="str">
        <f ca="1">IF(Y601,COUNTIF($Y$2:$Y601,TRUE),"")</f>
        <v/>
      </c>
      <c r="AA601" s="9" t="str">
        <f t="shared" ca="1" si="91"/>
        <v/>
      </c>
      <c r="AB601" s="9" t="str">
        <f t="shared" ca="1" si="92"/>
        <v/>
      </c>
      <c r="AC601" s="9" t="str">
        <f t="shared" ca="1" si="93"/>
        <v/>
      </c>
      <c r="AD601" s="9" t="str">
        <f t="shared" ca="1" si="94"/>
        <v/>
      </c>
      <c r="AE601" s="9" t="str">
        <f t="shared" ca="1" si="95"/>
        <v/>
      </c>
      <c r="AF601" s="9" t="str">
        <f ca="1">IF(AND(Y601,AA601="ERREUR"),COUNTIF($AA$2:$AA601,"ERREUR"),"")</f>
        <v/>
      </c>
    </row>
    <row r="602" spans="23:32" ht="25" customHeight="1">
      <c r="W602" s="19">
        <f t="shared" ca="1" si="88"/>
        <v>45868</v>
      </c>
      <c r="X602" s="9" t="str">
        <f t="shared" ca="1" si="89"/>
        <v>30072025</v>
      </c>
      <c r="Y602" s="9" t="b">
        <f t="shared" ca="1" si="90"/>
        <v>0</v>
      </c>
      <c r="Z602" s="9" t="str">
        <f ca="1">IF(Y602,COUNTIF($Y$2:$Y602,TRUE),"")</f>
        <v/>
      </c>
      <c r="AA602" s="9" t="str">
        <f t="shared" ca="1" si="91"/>
        <v/>
      </c>
      <c r="AB602" s="9" t="str">
        <f t="shared" ca="1" si="92"/>
        <v/>
      </c>
      <c r="AC602" s="9" t="str">
        <f t="shared" ca="1" si="93"/>
        <v/>
      </c>
      <c r="AD602" s="9" t="str">
        <f t="shared" ca="1" si="94"/>
        <v/>
      </c>
      <c r="AE602" s="9" t="str">
        <f t="shared" ca="1" si="95"/>
        <v/>
      </c>
      <c r="AF602" s="9" t="str">
        <f ca="1">IF(AND(Y602,AA602="ERREUR"),COUNTIF($AA$2:$AA602,"ERREUR"),"")</f>
        <v/>
      </c>
    </row>
    <row r="603" spans="23:32" ht="25" customHeight="1">
      <c r="W603" s="19">
        <f t="shared" ca="1" si="88"/>
        <v>45867</v>
      </c>
      <c r="X603" s="9" t="str">
        <f t="shared" ca="1" si="89"/>
        <v>29072025</v>
      </c>
      <c r="Y603" s="9" t="b">
        <f t="shared" ca="1" si="90"/>
        <v>0</v>
      </c>
      <c r="Z603" s="9" t="str">
        <f ca="1">IF(Y603,COUNTIF($Y$2:$Y603,TRUE),"")</f>
        <v/>
      </c>
      <c r="AA603" s="9" t="str">
        <f t="shared" ca="1" si="91"/>
        <v/>
      </c>
      <c r="AB603" s="9" t="str">
        <f t="shared" ca="1" si="92"/>
        <v/>
      </c>
      <c r="AC603" s="9" t="str">
        <f t="shared" ca="1" si="93"/>
        <v/>
      </c>
      <c r="AD603" s="9" t="str">
        <f t="shared" ca="1" si="94"/>
        <v/>
      </c>
      <c r="AE603" s="9" t="str">
        <f t="shared" ca="1" si="95"/>
        <v/>
      </c>
      <c r="AF603" s="9" t="str">
        <f ca="1">IF(AND(Y603,AA603="ERREUR"),COUNTIF($AA$2:$AA603,"ERREUR"),"")</f>
        <v/>
      </c>
    </row>
    <row r="604" spans="23:32" ht="25" customHeight="1">
      <c r="W604" s="19">
        <f t="shared" ca="1" si="88"/>
        <v>45866</v>
      </c>
      <c r="X604" s="9" t="str">
        <f t="shared" ca="1" si="89"/>
        <v>28072025</v>
      </c>
      <c r="Y604" s="9" t="b">
        <f t="shared" ca="1" si="90"/>
        <v>0</v>
      </c>
      <c r="Z604" s="9" t="str">
        <f ca="1">IF(Y604,COUNTIF($Y$2:$Y604,TRUE),"")</f>
        <v/>
      </c>
      <c r="AA604" s="9" t="str">
        <f t="shared" ca="1" si="91"/>
        <v/>
      </c>
      <c r="AB604" s="9" t="str">
        <f t="shared" ca="1" si="92"/>
        <v/>
      </c>
      <c r="AC604" s="9" t="str">
        <f t="shared" ca="1" si="93"/>
        <v/>
      </c>
      <c r="AD604" s="9" t="str">
        <f t="shared" ca="1" si="94"/>
        <v/>
      </c>
      <c r="AE604" s="9" t="str">
        <f t="shared" ca="1" si="95"/>
        <v/>
      </c>
      <c r="AF604" s="9" t="str">
        <f ca="1">IF(AND(Y604,AA604="ERREUR"),COUNTIF($AA$2:$AA604,"ERREUR"),"")</f>
        <v/>
      </c>
    </row>
    <row r="605" spans="23:32" ht="25" customHeight="1">
      <c r="W605" s="19">
        <f t="shared" ca="1" si="88"/>
        <v>45865</v>
      </c>
      <c r="X605" s="9" t="str">
        <f t="shared" ca="1" si="89"/>
        <v>27072025</v>
      </c>
      <c r="Y605" s="9" t="b">
        <f t="shared" ca="1" si="90"/>
        <v>0</v>
      </c>
      <c r="Z605" s="9" t="str">
        <f ca="1">IF(Y605,COUNTIF($Y$2:$Y605,TRUE),"")</f>
        <v/>
      </c>
      <c r="AA605" s="9" t="str">
        <f t="shared" ca="1" si="91"/>
        <v/>
      </c>
      <c r="AB605" s="9" t="str">
        <f t="shared" ca="1" si="92"/>
        <v/>
      </c>
      <c r="AC605" s="9" t="str">
        <f t="shared" ca="1" si="93"/>
        <v/>
      </c>
      <c r="AD605" s="9" t="str">
        <f t="shared" ca="1" si="94"/>
        <v/>
      </c>
      <c r="AE605" s="9" t="str">
        <f t="shared" ca="1" si="95"/>
        <v/>
      </c>
      <c r="AF605" s="9" t="str">
        <f ca="1">IF(AND(Y605,AA605="ERREUR"),COUNTIF($AA$2:$AA605,"ERREUR"),"")</f>
        <v/>
      </c>
    </row>
    <row r="606" spans="23:32" ht="25" customHeight="1">
      <c r="W606" s="19">
        <f t="shared" ca="1" si="88"/>
        <v>45864</v>
      </c>
      <c r="X606" s="9" t="str">
        <f t="shared" ca="1" si="89"/>
        <v>26072025</v>
      </c>
      <c r="Y606" s="9" t="b">
        <f t="shared" ca="1" si="90"/>
        <v>0</v>
      </c>
      <c r="Z606" s="9" t="str">
        <f ca="1">IF(Y606,COUNTIF($Y$2:$Y606,TRUE),"")</f>
        <v/>
      </c>
      <c r="AA606" s="9" t="str">
        <f t="shared" ca="1" si="91"/>
        <v/>
      </c>
      <c r="AB606" s="9" t="str">
        <f t="shared" ca="1" si="92"/>
        <v/>
      </c>
      <c r="AC606" s="9" t="str">
        <f t="shared" ca="1" si="93"/>
        <v/>
      </c>
      <c r="AD606" s="9" t="str">
        <f t="shared" ca="1" si="94"/>
        <v/>
      </c>
      <c r="AE606" s="9" t="str">
        <f t="shared" ca="1" si="95"/>
        <v/>
      </c>
      <c r="AF606" s="9" t="str">
        <f ca="1">IF(AND(Y606,AA606="ERREUR"),COUNTIF($AA$2:$AA606,"ERREUR"),"")</f>
        <v/>
      </c>
    </row>
    <row r="607" spans="23:32" ht="25" customHeight="1">
      <c r="W607" s="19">
        <f t="shared" ca="1" si="88"/>
        <v>45863</v>
      </c>
      <c r="X607" s="9" t="str">
        <f t="shared" ca="1" si="89"/>
        <v>25072025</v>
      </c>
      <c r="Y607" s="9" t="b">
        <f t="shared" ca="1" si="90"/>
        <v>0</v>
      </c>
      <c r="Z607" s="9" t="str">
        <f ca="1">IF(Y607,COUNTIF($Y$2:$Y607,TRUE),"")</f>
        <v/>
      </c>
      <c r="AA607" s="9" t="str">
        <f t="shared" ca="1" si="91"/>
        <v/>
      </c>
      <c r="AB607" s="9" t="str">
        <f t="shared" ca="1" si="92"/>
        <v/>
      </c>
      <c r="AC607" s="9" t="str">
        <f t="shared" ca="1" si="93"/>
        <v/>
      </c>
      <c r="AD607" s="9" t="str">
        <f t="shared" ca="1" si="94"/>
        <v/>
      </c>
      <c r="AE607" s="9" t="str">
        <f t="shared" ca="1" si="95"/>
        <v/>
      </c>
      <c r="AF607" s="9" t="str">
        <f ca="1">IF(AND(Y607,AA607="ERREUR"),COUNTIF($AA$2:$AA607,"ERREUR"),"")</f>
        <v/>
      </c>
    </row>
    <row r="608" spans="23:32" ht="25" customHeight="1">
      <c r="W608" s="19">
        <f t="shared" ca="1" si="88"/>
        <v>45862</v>
      </c>
      <c r="X608" s="9" t="str">
        <f t="shared" ca="1" si="89"/>
        <v>24072025</v>
      </c>
      <c r="Y608" s="9" t="b">
        <f t="shared" ca="1" si="90"/>
        <v>0</v>
      </c>
      <c r="Z608" s="9" t="str">
        <f ca="1">IF(Y608,COUNTIF($Y$2:$Y608,TRUE),"")</f>
        <v/>
      </c>
      <c r="AA608" s="9" t="str">
        <f t="shared" ca="1" si="91"/>
        <v/>
      </c>
      <c r="AB608" s="9" t="str">
        <f t="shared" ca="1" si="92"/>
        <v/>
      </c>
      <c r="AC608" s="9" t="str">
        <f t="shared" ca="1" si="93"/>
        <v/>
      </c>
      <c r="AD608" s="9" t="str">
        <f t="shared" ca="1" si="94"/>
        <v/>
      </c>
      <c r="AE608" s="9" t="str">
        <f t="shared" ca="1" si="95"/>
        <v/>
      </c>
      <c r="AF608" s="9" t="str">
        <f ca="1">IF(AND(Y608,AA608="ERREUR"),COUNTIF($AA$2:$AA608,"ERREUR"),"")</f>
        <v/>
      </c>
    </row>
    <row r="609" spans="23:32" ht="25" customHeight="1">
      <c r="W609" s="19">
        <f t="shared" ca="1" si="88"/>
        <v>45861</v>
      </c>
      <c r="X609" s="9" t="str">
        <f t="shared" ca="1" si="89"/>
        <v>23072025</v>
      </c>
      <c r="Y609" s="9" t="b">
        <f t="shared" ca="1" si="90"/>
        <v>0</v>
      </c>
      <c r="Z609" s="9" t="str">
        <f ca="1">IF(Y609,COUNTIF($Y$2:$Y609,TRUE),"")</f>
        <v/>
      </c>
      <c r="AA609" s="9" t="str">
        <f t="shared" ca="1" si="91"/>
        <v/>
      </c>
      <c r="AB609" s="9" t="str">
        <f t="shared" ca="1" si="92"/>
        <v/>
      </c>
      <c r="AC609" s="9" t="str">
        <f t="shared" ca="1" si="93"/>
        <v/>
      </c>
      <c r="AD609" s="9" t="str">
        <f t="shared" ca="1" si="94"/>
        <v/>
      </c>
      <c r="AE609" s="9" t="str">
        <f t="shared" ca="1" si="95"/>
        <v/>
      </c>
      <c r="AF609" s="9" t="str">
        <f ca="1">IF(AND(Y609,AA609="ERREUR"),COUNTIF($AA$2:$AA609,"ERREUR"),"")</f>
        <v/>
      </c>
    </row>
    <row r="610" spans="23:32" ht="25" customHeight="1">
      <c r="W610" s="19">
        <f t="shared" ca="1" si="88"/>
        <v>45860</v>
      </c>
      <c r="X610" s="9" t="str">
        <f t="shared" ca="1" si="89"/>
        <v>22072025</v>
      </c>
      <c r="Y610" s="9" t="b">
        <f t="shared" ca="1" si="90"/>
        <v>0</v>
      </c>
      <c r="Z610" s="9" t="str">
        <f ca="1">IF(Y610,COUNTIF($Y$2:$Y610,TRUE),"")</f>
        <v/>
      </c>
      <c r="AA610" s="9" t="str">
        <f t="shared" ca="1" si="91"/>
        <v/>
      </c>
      <c r="AB610" s="9" t="str">
        <f t="shared" ca="1" si="92"/>
        <v/>
      </c>
      <c r="AC610" s="9" t="str">
        <f t="shared" ca="1" si="93"/>
        <v/>
      </c>
      <c r="AD610" s="9" t="str">
        <f t="shared" ca="1" si="94"/>
        <v/>
      </c>
      <c r="AE610" s="9" t="str">
        <f t="shared" ca="1" si="95"/>
        <v/>
      </c>
      <c r="AF610" s="9" t="str">
        <f ca="1">IF(AND(Y610,AA610="ERREUR"),COUNTIF($AA$2:$AA610,"ERREUR"),"")</f>
        <v/>
      </c>
    </row>
    <row r="611" spans="23:32" ht="25" customHeight="1">
      <c r="W611" s="19">
        <f t="shared" ca="1" si="88"/>
        <v>45859</v>
      </c>
      <c r="X611" s="9" t="str">
        <f t="shared" ca="1" si="89"/>
        <v>21072025</v>
      </c>
      <c r="Y611" s="9" t="b">
        <f t="shared" ca="1" si="90"/>
        <v>0</v>
      </c>
      <c r="Z611" s="9" t="str">
        <f ca="1">IF(Y611,COUNTIF($Y$2:$Y611,TRUE),"")</f>
        <v/>
      </c>
      <c r="AA611" s="9" t="str">
        <f t="shared" ca="1" si="91"/>
        <v/>
      </c>
      <c r="AB611" s="9" t="str">
        <f t="shared" ca="1" si="92"/>
        <v/>
      </c>
      <c r="AC611" s="9" t="str">
        <f t="shared" ca="1" si="93"/>
        <v/>
      </c>
      <c r="AD611" s="9" t="str">
        <f t="shared" ca="1" si="94"/>
        <v/>
      </c>
      <c r="AE611" s="9" t="str">
        <f t="shared" ca="1" si="95"/>
        <v/>
      </c>
      <c r="AF611" s="9" t="str">
        <f ca="1">IF(AND(Y611,AA611="ERREUR"),COUNTIF($AA$2:$AA611,"ERREUR"),"")</f>
        <v/>
      </c>
    </row>
    <row r="612" spans="23:32" ht="25" customHeight="1">
      <c r="W612" s="19">
        <f t="shared" ca="1" si="88"/>
        <v>45858</v>
      </c>
      <c r="X612" s="9" t="str">
        <f t="shared" ca="1" si="89"/>
        <v>20072025</v>
      </c>
      <c r="Y612" s="9" t="b">
        <f t="shared" ca="1" si="90"/>
        <v>0</v>
      </c>
      <c r="Z612" s="9" t="str">
        <f ca="1">IF(Y612,COUNTIF($Y$2:$Y612,TRUE),"")</f>
        <v/>
      </c>
      <c r="AA612" s="9" t="str">
        <f t="shared" ca="1" si="91"/>
        <v/>
      </c>
      <c r="AB612" s="9" t="str">
        <f t="shared" ca="1" si="92"/>
        <v/>
      </c>
      <c r="AC612" s="9" t="str">
        <f t="shared" ca="1" si="93"/>
        <v/>
      </c>
      <c r="AD612" s="9" t="str">
        <f t="shared" ca="1" si="94"/>
        <v/>
      </c>
      <c r="AE612" s="9" t="str">
        <f t="shared" ca="1" si="95"/>
        <v/>
      </c>
      <c r="AF612" s="9" t="str">
        <f ca="1">IF(AND(Y612,AA612="ERREUR"),COUNTIF($AA$2:$AA612,"ERREUR"),"")</f>
        <v/>
      </c>
    </row>
    <row r="613" spans="23:32" ht="25" customHeight="1">
      <c r="W613" s="19">
        <f t="shared" ca="1" si="88"/>
        <v>45857</v>
      </c>
      <c r="X613" s="9" t="str">
        <f t="shared" ca="1" si="89"/>
        <v>19072025</v>
      </c>
      <c r="Y613" s="9" t="b">
        <f t="shared" ca="1" si="90"/>
        <v>0</v>
      </c>
      <c r="Z613" s="9" t="str">
        <f ca="1">IF(Y613,COUNTIF($Y$2:$Y613,TRUE),"")</f>
        <v/>
      </c>
      <c r="AA613" s="9" t="str">
        <f t="shared" ca="1" si="91"/>
        <v/>
      </c>
      <c r="AB613" s="9" t="str">
        <f t="shared" ca="1" si="92"/>
        <v/>
      </c>
      <c r="AC613" s="9" t="str">
        <f t="shared" ca="1" si="93"/>
        <v/>
      </c>
      <c r="AD613" s="9" t="str">
        <f t="shared" ca="1" si="94"/>
        <v/>
      </c>
      <c r="AE613" s="9" t="str">
        <f t="shared" ca="1" si="95"/>
        <v/>
      </c>
      <c r="AF613" s="9" t="str">
        <f ca="1">IF(AND(Y613,AA613="ERREUR"),COUNTIF($AA$2:$AA613,"ERREUR"),"")</f>
        <v/>
      </c>
    </row>
    <row r="614" spans="23:32" ht="25" customHeight="1">
      <c r="W614" s="19">
        <f t="shared" ca="1" si="88"/>
        <v>45856</v>
      </c>
      <c r="X614" s="9" t="str">
        <f t="shared" ca="1" si="89"/>
        <v>18072025</v>
      </c>
      <c r="Y614" s="9" t="b">
        <f t="shared" ca="1" si="90"/>
        <v>0</v>
      </c>
      <c r="Z614" s="9" t="str">
        <f ca="1">IF(Y614,COUNTIF($Y$2:$Y614,TRUE),"")</f>
        <v/>
      </c>
      <c r="AA614" s="9" t="str">
        <f t="shared" ca="1" si="91"/>
        <v/>
      </c>
      <c r="AB614" s="9" t="str">
        <f t="shared" ca="1" si="92"/>
        <v/>
      </c>
      <c r="AC614" s="9" t="str">
        <f t="shared" ca="1" si="93"/>
        <v/>
      </c>
      <c r="AD614" s="9" t="str">
        <f t="shared" ca="1" si="94"/>
        <v/>
      </c>
      <c r="AE614" s="9" t="str">
        <f t="shared" ca="1" si="95"/>
        <v/>
      </c>
      <c r="AF614" s="9" t="str">
        <f ca="1">IF(AND(Y614,AA614="ERREUR"),COUNTIF($AA$2:$AA614,"ERREUR"),"")</f>
        <v/>
      </c>
    </row>
    <row r="615" spans="23:32" ht="25" customHeight="1">
      <c r="W615" s="19">
        <f t="shared" ca="1" si="88"/>
        <v>45855</v>
      </c>
      <c r="X615" s="9" t="str">
        <f t="shared" ca="1" si="89"/>
        <v>17072025</v>
      </c>
      <c r="Y615" s="9" t="b">
        <f t="shared" ca="1" si="90"/>
        <v>0</v>
      </c>
      <c r="Z615" s="9" t="str">
        <f ca="1">IF(Y615,COUNTIF($Y$2:$Y615,TRUE),"")</f>
        <v/>
      </c>
      <c r="AA615" s="9" t="str">
        <f t="shared" ca="1" si="91"/>
        <v/>
      </c>
      <c r="AB615" s="9" t="str">
        <f t="shared" ca="1" si="92"/>
        <v/>
      </c>
      <c r="AC615" s="9" t="str">
        <f t="shared" ca="1" si="93"/>
        <v/>
      </c>
      <c r="AD615" s="9" t="str">
        <f t="shared" ca="1" si="94"/>
        <v/>
      </c>
      <c r="AE615" s="9" t="str">
        <f t="shared" ca="1" si="95"/>
        <v/>
      </c>
      <c r="AF615" s="9" t="str">
        <f ca="1">IF(AND(Y615,AA615="ERREUR"),COUNTIF($AA$2:$AA615,"ERREUR"),"")</f>
        <v/>
      </c>
    </row>
    <row r="616" spans="23:32" ht="25" customHeight="1">
      <c r="W616" s="19">
        <f t="shared" ca="1" si="88"/>
        <v>45854</v>
      </c>
      <c r="X616" s="9" t="str">
        <f t="shared" ca="1" si="89"/>
        <v>16072025</v>
      </c>
      <c r="Y616" s="9" t="b">
        <f t="shared" ca="1" si="90"/>
        <v>0</v>
      </c>
      <c r="Z616" s="9" t="str">
        <f ca="1">IF(Y616,COUNTIF($Y$2:$Y616,TRUE),"")</f>
        <v/>
      </c>
      <c r="AA616" s="9" t="str">
        <f t="shared" ca="1" si="91"/>
        <v/>
      </c>
      <c r="AB616" s="9" t="str">
        <f t="shared" ca="1" si="92"/>
        <v/>
      </c>
      <c r="AC616" s="9" t="str">
        <f t="shared" ca="1" si="93"/>
        <v/>
      </c>
      <c r="AD616" s="9" t="str">
        <f t="shared" ca="1" si="94"/>
        <v/>
      </c>
      <c r="AE616" s="9" t="str">
        <f t="shared" ca="1" si="95"/>
        <v/>
      </c>
      <c r="AF616" s="9" t="str">
        <f ca="1">IF(AND(Y616,AA616="ERREUR"),COUNTIF($AA$2:$AA616,"ERREUR"),"")</f>
        <v/>
      </c>
    </row>
    <row r="617" spans="23:32" ht="25" customHeight="1">
      <c r="W617" s="19">
        <f t="shared" ca="1" si="88"/>
        <v>45853</v>
      </c>
      <c r="X617" s="9" t="str">
        <f t="shared" ca="1" si="89"/>
        <v>15072025</v>
      </c>
      <c r="Y617" s="9" t="b">
        <f t="shared" ca="1" si="90"/>
        <v>0</v>
      </c>
      <c r="Z617" s="9" t="str">
        <f ca="1">IF(Y617,COUNTIF($Y$2:$Y617,TRUE),"")</f>
        <v/>
      </c>
      <c r="AA617" s="9" t="str">
        <f t="shared" ca="1" si="91"/>
        <v/>
      </c>
      <c r="AB617" s="9" t="str">
        <f t="shared" ca="1" si="92"/>
        <v/>
      </c>
      <c r="AC617" s="9" t="str">
        <f t="shared" ca="1" si="93"/>
        <v/>
      </c>
      <c r="AD617" s="9" t="str">
        <f t="shared" ca="1" si="94"/>
        <v/>
      </c>
      <c r="AE617" s="9" t="str">
        <f t="shared" ca="1" si="95"/>
        <v/>
      </c>
      <c r="AF617" s="9" t="str">
        <f ca="1">IF(AND(Y617,AA617="ERREUR"),COUNTIF($AA$2:$AA617,"ERREUR"),"")</f>
        <v/>
      </c>
    </row>
    <row r="618" spans="23:32" ht="25" customHeight="1">
      <c r="W618" s="19">
        <f t="shared" ca="1" si="88"/>
        <v>45852</v>
      </c>
      <c r="X618" s="9" t="str">
        <f t="shared" ca="1" si="89"/>
        <v>14072025</v>
      </c>
      <c r="Y618" s="9" t="b">
        <f t="shared" ca="1" si="90"/>
        <v>0</v>
      </c>
      <c r="Z618" s="9" t="str">
        <f ca="1">IF(Y618,COUNTIF($Y$2:$Y618,TRUE),"")</f>
        <v/>
      </c>
      <c r="AA618" s="9" t="str">
        <f t="shared" ca="1" si="91"/>
        <v/>
      </c>
      <c r="AB618" s="9" t="str">
        <f t="shared" ca="1" si="92"/>
        <v/>
      </c>
      <c r="AC618" s="9" t="str">
        <f t="shared" ca="1" si="93"/>
        <v/>
      </c>
      <c r="AD618" s="9" t="str">
        <f t="shared" ca="1" si="94"/>
        <v/>
      </c>
      <c r="AE618" s="9" t="str">
        <f t="shared" ca="1" si="95"/>
        <v/>
      </c>
      <c r="AF618" s="9" t="str">
        <f ca="1">IF(AND(Y618,AA618="ERREUR"),COUNTIF($AA$2:$AA618,"ERREUR"),"")</f>
        <v/>
      </c>
    </row>
    <row r="619" spans="23:32" ht="25" customHeight="1">
      <c r="W619" s="19">
        <f t="shared" ca="1" si="88"/>
        <v>45851</v>
      </c>
      <c r="X619" s="9" t="str">
        <f t="shared" ca="1" si="89"/>
        <v>13072025</v>
      </c>
      <c r="Y619" s="9" t="b">
        <f t="shared" ca="1" si="90"/>
        <v>0</v>
      </c>
      <c r="Z619" s="9" t="str">
        <f ca="1">IF(Y619,COUNTIF($Y$2:$Y619,TRUE),"")</f>
        <v/>
      </c>
      <c r="AA619" s="9" t="str">
        <f t="shared" ca="1" si="91"/>
        <v/>
      </c>
      <c r="AB619" s="9" t="str">
        <f t="shared" ca="1" si="92"/>
        <v/>
      </c>
      <c r="AC619" s="9" t="str">
        <f t="shared" ca="1" si="93"/>
        <v/>
      </c>
      <c r="AD619" s="9" t="str">
        <f t="shared" ca="1" si="94"/>
        <v/>
      </c>
      <c r="AE619" s="9" t="str">
        <f t="shared" ca="1" si="95"/>
        <v/>
      </c>
      <c r="AF619" s="9" t="str">
        <f ca="1">IF(AND(Y619,AA619="ERREUR"),COUNTIF($AA$2:$AA619,"ERREUR"),"")</f>
        <v/>
      </c>
    </row>
    <row r="620" spans="23:32" ht="25" customHeight="1">
      <c r="W620" s="19">
        <f t="shared" ca="1" si="88"/>
        <v>45850</v>
      </c>
      <c r="X620" s="9" t="str">
        <f t="shared" ca="1" si="89"/>
        <v>12072025</v>
      </c>
      <c r="Y620" s="9" t="b">
        <f t="shared" ca="1" si="90"/>
        <v>0</v>
      </c>
      <c r="Z620" s="9" t="str">
        <f ca="1">IF(Y620,COUNTIF($Y$2:$Y620,TRUE),"")</f>
        <v/>
      </c>
      <c r="AA620" s="9" t="str">
        <f t="shared" ca="1" si="91"/>
        <v/>
      </c>
      <c r="AB620" s="9" t="str">
        <f t="shared" ca="1" si="92"/>
        <v/>
      </c>
      <c r="AC620" s="9" t="str">
        <f t="shared" ca="1" si="93"/>
        <v/>
      </c>
      <c r="AD620" s="9" t="str">
        <f t="shared" ca="1" si="94"/>
        <v/>
      </c>
      <c r="AE620" s="9" t="str">
        <f t="shared" ca="1" si="95"/>
        <v/>
      </c>
      <c r="AF620" s="9" t="str">
        <f ca="1">IF(AND(Y620,AA620="ERREUR"),COUNTIF($AA$2:$AA620,"ERREUR"),"")</f>
        <v/>
      </c>
    </row>
    <row r="621" spans="23:32" ht="25" customHeight="1">
      <c r="W621" s="19">
        <f t="shared" ca="1" si="88"/>
        <v>45849</v>
      </c>
      <c r="X621" s="9" t="str">
        <f t="shared" ca="1" si="89"/>
        <v>11072025</v>
      </c>
      <c r="Y621" s="9" t="b">
        <f t="shared" ca="1" si="90"/>
        <v>0</v>
      </c>
      <c r="Z621" s="9" t="str">
        <f ca="1">IF(Y621,COUNTIF($Y$2:$Y621,TRUE),"")</f>
        <v/>
      </c>
      <c r="AA621" s="9" t="str">
        <f t="shared" ca="1" si="91"/>
        <v/>
      </c>
      <c r="AB621" s="9" t="str">
        <f t="shared" ca="1" si="92"/>
        <v/>
      </c>
      <c r="AC621" s="9" t="str">
        <f t="shared" ca="1" si="93"/>
        <v/>
      </c>
      <c r="AD621" s="9" t="str">
        <f t="shared" ca="1" si="94"/>
        <v/>
      </c>
      <c r="AE621" s="9" t="str">
        <f t="shared" ca="1" si="95"/>
        <v/>
      </c>
      <c r="AF621" s="9" t="str">
        <f ca="1">IF(AND(Y621,AA621="ERREUR"),COUNTIF($AA$2:$AA621,"ERREUR"),"")</f>
        <v/>
      </c>
    </row>
    <row r="622" spans="23:32" ht="25" customHeight="1">
      <c r="W622" s="19">
        <f t="shared" ca="1" si="88"/>
        <v>45848</v>
      </c>
      <c r="X622" s="9" t="str">
        <f t="shared" ca="1" si="89"/>
        <v>10072025</v>
      </c>
      <c r="Y622" s="9" t="b">
        <f t="shared" ca="1" si="90"/>
        <v>0</v>
      </c>
      <c r="Z622" s="9" t="str">
        <f ca="1">IF(Y622,COUNTIF($Y$2:$Y622,TRUE),"")</f>
        <v/>
      </c>
      <c r="AA622" s="9" t="str">
        <f t="shared" ca="1" si="91"/>
        <v/>
      </c>
      <c r="AB622" s="9" t="str">
        <f t="shared" ca="1" si="92"/>
        <v/>
      </c>
      <c r="AC622" s="9" t="str">
        <f t="shared" ca="1" si="93"/>
        <v/>
      </c>
      <c r="AD622" s="9" t="str">
        <f t="shared" ca="1" si="94"/>
        <v/>
      </c>
      <c r="AE622" s="9" t="str">
        <f t="shared" ca="1" si="95"/>
        <v/>
      </c>
      <c r="AF622" s="9" t="str">
        <f ca="1">IF(AND(Y622,AA622="ERREUR"),COUNTIF($AA$2:$AA622,"ERREUR"),"")</f>
        <v/>
      </c>
    </row>
    <row r="623" spans="23:32" ht="25" customHeight="1">
      <c r="W623" s="19">
        <f t="shared" ca="1" si="88"/>
        <v>45847</v>
      </c>
      <c r="X623" s="9" t="str">
        <f t="shared" ca="1" si="89"/>
        <v>09072025</v>
      </c>
      <c r="Y623" s="9" t="b">
        <f t="shared" ca="1" si="90"/>
        <v>0</v>
      </c>
      <c r="Z623" s="9" t="str">
        <f ca="1">IF(Y623,COUNTIF($Y$2:$Y623,TRUE),"")</f>
        <v/>
      </c>
      <c r="AA623" s="9" t="str">
        <f t="shared" ca="1" si="91"/>
        <v/>
      </c>
      <c r="AB623" s="9" t="str">
        <f t="shared" ca="1" si="92"/>
        <v/>
      </c>
      <c r="AC623" s="9" t="str">
        <f t="shared" ca="1" si="93"/>
        <v/>
      </c>
      <c r="AD623" s="9" t="str">
        <f t="shared" ca="1" si="94"/>
        <v/>
      </c>
      <c r="AE623" s="9" t="str">
        <f t="shared" ca="1" si="95"/>
        <v/>
      </c>
      <c r="AF623" s="9" t="str">
        <f ca="1">IF(AND(Y623,AA623="ERREUR"),COUNTIF($AA$2:$AA623,"ERREUR"),"")</f>
        <v/>
      </c>
    </row>
    <row r="624" spans="23:32" ht="25" customHeight="1">
      <c r="W624" s="19">
        <f t="shared" ca="1" si="88"/>
        <v>45846</v>
      </c>
      <c r="X624" s="9" t="str">
        <f t="shared" ca="1" si="89"/>
        <v>08072025</v>
      </c>
      <c r="Y624" s="9" t="b">
        <f t="shared" ca="1" si="90"/>
        <v>0</v>
      </c>
      <c r="Z624" s="9" t="str">
        <f ca="1">IF(Y624,COUNTIF($Y$2:$Y624,TRUE),"")</f>
        <v/>
      </c>
      <c r="AA624" s="9" t="str">
        <f t="shared" ca="1" si="91"/>
        <v/>
      </c>
      <c r="AB624" s="9" t="str">
        <f t="shared" ca="1" si="92"/>
        <v/>
      </c>
      <c r="AC624" s="9" t="str">
        <f t="shared" ca="1" si="93"/>
        <v/>
      </c>
      <c r="AD624" s="9" t="str">
        <f t="shared" ca="1" si="94"/>
        <v/>
      </c>
      <c r="AE624" s="9" t="str">
        <f t="shared" ca="1" si="95"/>
        <v/>
      </c>
      <c r="AF624" s="9" t="str">
        <f ca="1">IF(AND(Y624,AA624="ERREUR"),COUNTIF($AA$2:$AA624,"ERREUR"),"")</f>
        <v/>
      </c>
    </row>
    <row r="625" spans="23:32" ht="25" customHeight="1">
      <c r="W625" s="19">
        <f t="shared" ca="1" si="88"/>
        <v>45845</v>
      </c>
      <c r="X625" s="9" t="str">
        <f t="shared" ca="1" si="89"/>
        <v>07072025</v>
      </c>
      <c r="Y625" s="9" t="b">
        <f t="shared" ca="1" si="90"/>
        <v>0</v>
      </c>
      <c r="Z625" s="9" t="str">
        <f ca="1">IF(Y625,COUNTIF($Y$2:$Y625,TRUE),"")</f>
        <v/>
      </c>
      <c r="AA625" s="9" t="str">
        <f t="shared" ca="1" si="91"/>
        <v/>
      </c>
      <c r="AB625" s="9" t="str">
        <f t="shared" ca="1" si="92"/>
        <v/>
      </c>
      <c r="AC625" s="9" t="str">
        <f t="shared" ca="1" si="93"/>
        <v/>
      </c>
      <c r="AD625" s="9" t="str">
        <f t="shared" ca="1" si="94"/>
        <v/>
      </c>
      <c r="AE625" s="9" t="str">
        <f t="shared" ca="1" si="95"/>
        <v/>
      </c>
      <c r="AF625" s="9" t="str">
        <f ca="1">IF(AND(Y625,AA625="ERREUR"),COUNTIF($AA$2:$AA625,"ERREUR"),"")</f>
        <v/>
      </c>
    </row>
    <row r="626" spans="23:32" ht="25" customHeight="1">
      <c r="W626" s="19">
        <f t="shared" ca="1" si="88"/>
        <v>45844</v>
      </c>
      <c r="X626" s="9" t="str">
        <f t="shared" ca="1" si="89"/>
        <v>06072025</v>
      </c>
      <c r="Y626" s="9" t="b">
        <f t="shared" ca="1" si="90"/>
        <v>0</v>
      </c>
      <c r="Z626" s="9" t="str">
        <f ca="1">IF(Y626,COUNTIF($Y$2:$Y626,TRUE),"")</f>
        <v/>
      </c>
      <c r="AA626" s="9" t="str">
        <f t="shared" ca="1" si="91"/>
        <v/>
      </c>
      <c r="AB626" s="9" t="str">
        <f t="shared" ca="1" si="92"/>
        <v/>
      </c>
      <c r="AC626" s="9" t="str">
        <f t="shared" ca="1" si="93"/>
        <v/>
      </c>
      <c r="AD626" s="9" t="str">
        <f t="shared" ca="1" si="94"/>
        <v/>
      </c>
      <c r="AE626" s="9" t="str">
        <f t="shared" ca="1" si="95"/>
        <v/>
      </c>
      <c r="AF626" s="9" t="str">
        <f ca="1">IF(AND(Y626,AA626="ERREUR"),COUNTIF($AA$2:$AA626,"ERREUR"),"")</f>
        <v/>
      </c>
    </row>
    <row r="627" spans="23:32" ht="25" customHeight="1">
      <c r="W627" s="19">
        <f t="shared" ca="1" si="88"/>
        <v>45843</v>
      </c>
      <c r="X627" s="9" t="str">
        <f t="shared" ca="1" si="89"/>
        <v>05072025</v>
      </c>
      <c r="Y627" s="9" t="b">
        <f t="shared" ca="1" si="90"/>
        <v>0</v>
      </c>
      <c r="Z627" s="9" t="str">
        <f ca="1">IF(Y627,COUNTIF($Y$2:$Y627,TRUE),"")</f>
        <v/>
      </c>
      <c r="AA627" s="9" t="str">
        <f t="shared" ca="1" si="91"/>
        <v/>
      </c>
      <c r="AB627" s="9" t="str">
        <f t="shared" ca="1" si="92"/>
        <v/>
      </c>
      <c r="AC627" s="9" t="str">
        <f t="shared" ca="1" si="93"/>
        <v/>
      </c>
      <c r="AD627" s="9" t="str">
        <f t="shared" ca="1" si="94"/>
        <v/>
      </c>
      <c r="AE627" s="9" t="str">
        <f t="shared" ca="1" si="95"/>
        <v/>
      </c>
      <c r="AF627" s="9" t="str">
        <f ca="1">IF(AND(Y627,AA627="ERREUR"),COUNTIF($AA$2:$AA627,"ERREUR"),"")</f>
        <v/>
      </c>
    </row>
    <row r="628" spans="23:32" ht="25" customHeight="1">
      <c r="W628" s="19">
        <f t="shared" ca="1" si="88"/>
        <v>45842</v>
      </c>
      <c r="X628" s="9" t="str">
        <f t="shared" ca="1" si="89"/>
        <v>04072025</v>
      </c>
      <c r="Y628" s="9" t="b">
        <f t="shared" ca="1" si="90"/>
        <v>0</v>
      </c>
      <c r="Z628" s="9" t="str">
        <f ca="1">IF(Y628,COUNTIF($Y$2:$Y628,TRUE),"")</f>
        <v/>
      </c>
      <c r="AA628" s="9" t="str">
        <f t="shared" ca="1" si="91"/>
        <v/>
      </c>
      <c r="AB628" s="9" t="str">
        <f t="shared" ca="1" si="92"/>
        <v/>
      </c>
      <c r="AC628" s="9" t="str">
        <f t="shared" ca="1" si="93"/>
        <v/>
      </c>
      <c r="AD628" s="9" t="str">
        <f t="shared" ca="1" si="94"/>
        <v/>
      </c>
      <c r="AE628" s="9" t="str">
        <f t="shared" ca="1" si="95"/>
        <v/>
      </c>
      <c r="AF628" s="9" t="str">
        <f ca="1">IF(AND(Y628,AA628="ERREUR"),COUNTIF($AA$2:$AA628,"ERREUR"),"")</f>
        <v/>
      </c>
    </row>
    <row r="629" spans="23:32" ht="25" customHeight="1">
      <c r="W629" s="19">
        <f t="shared" ca="1" si="88"/>
        <v>45841</v>
      </c>
      <c r="X629" s="9" t="str">
        <f t="shared" ca="1" si="89"/>
        <v>03072025</v>
      </c>
      <c r="Y629" s="9" t="b">
        <f t="shared" ca="1" si="90"/>
        <v>0</v>
      </c>
      <c r="Z629" s="9" t="str">
        <f ca="1">IF(Y629,COUNTIF($Y$2:$Y629,TRUE),"")</f>
        <v/>
      </c>
      <c r="AA629" s="9" t="str">
        <f t="shared" ca="1" si="91"/>
        <v/>
      </c>
      <c r="AB629" s="9" t="str">
        <f t="shared" ca="1" si="92"/>
        <v/>
      </c>
      <c r="AC629" s="9" t="str">
        <f t="shared" ca="1" si="93"/>
        <v/>
      </c>
      <c r="AD629" s="9" t="str">
        <f t="shared" ca="1" si="94"/>
        <v/>
      </c>
      <c r="AE629" s="9" t="str">
        <f t="shared" ca="1" si="95"/>
        <v/>
      </c>
      <c r="AF629" s="9" t="str">
        <f ca="1">IF(AND(Y629,AA629="ERREUR"),COUNTIF($AA$2:$AA629,"ERREUR"),"")</f>
        <v/>
      </c>
    </row>
    <row r="630" spans="23:32" ht="25" customHeight="1">
      <c r="W630" s="19">
        <f t="shared" ca="1" si="88"/>
        <v>45840</v>
      </c>
      <c r="X630" s="9" t="str">
        <f t="shared" ca="1" si="89"/>
        <v>02072025</v>
      </c>
      <c r="Y630" s="9" t="b">
        <f t="shared" ca="1" si="90"/>
        <v>0</v>
      </c>
      <c r="Z630" s="9" t="str">
        <f ca="1">IF(Y630,COUNTIF($Y$2:$Y630,TRUE),"")</f>
        <v/>
      </c>
      <c r="AA630" s="9" t="str">
        <f t="shared" ca="1" si="91"/>
        <v/>
      </c>
      <c r="AB630" s="9" t="str">
        <f t="shared" ca="1" si="92"/>
        <v/>
      </c>
      <c r="AC630" s="9" t="str">
        <f t="shared" ca="1" si="93"/>
        <v/>
      </c>
      <c r="AD630" s="9" t="str">
        <f t="shared" ca="1" si="94"/>
        <v/>
      </c>
      <c r="AE630" s="9" t="str">
        <f t="shared" ca="1" si="95"/>
        <v/>
      </c>
      <c r="AF630" s="9" t="str">
        <f ca="1">IF(AND(Y630,AA630="ERREUR"),COUNTIF($AA$2:$AA630,"ERREUR"),"")</f>
        <v/>
      </c>
    </row>
    <row r="631" spans="23:32" ht="25" customHeight="1">
      <c r="W631" s="19">
        <f t="shared" ca="1" si="88"/>
        <v>45839</v>
      </c>
      <c r="X631" s="9" t="str">
        <f t="shared" ca="1" si="89"/>
        <v>01072025</v>
      </c>
      <c r="Y631" s="9" t="b">
        <f t="shared" ca="1" si="90"/>
        <v>0</v>
      </c>
      <c r="Z631" s="9" t="str">
        <f ca="1">IF(Y631,COUNTIF($Y$2:$Y631,TRUE),"")</f>
        <v/>
      </c>
      <c r="AA631" s="9" t="str">
        <f t="shared" ca="1" si="91"/>
        <v/>
      </c>
      <c r="AB631" s="9" t="str">
        <f t="shared" ca="1" si="92"/>
        <v/>
      </c>
      <c r="AC631" s="9" t="str">
        <f t="shared" ca="1" si="93"/>
        <v/>
      </c>
      <c r="AD631" s="9" t="str">
        <f t="shared" ca="1" si="94"/>
        <v/>
      </c>
      <c r="AE631" s="9" t="str">
        <f t="shared" ca="1" si="95"/>
        <v/>
      </c>
      <c r="AF631" s="9" t="str">
        <f ca="1">IF(AND(Y631,AA631="ERREUR"),COUNTIF($AA$2:$AA631,"ERREUR"),"")</f>
        <v/>
      </c>
    </row>
    <row r="632" spans="23:32" ht="25" customHeight="1">
      <c r="W632" s="19">
        <f t="shared" ca="1" si="88"/>
        <v>45838</v>
      </c>
      <c r="X632" s="9" t="str">
        <f t="shared" ca="1" si="89"/>
        <v>30062025</v>
      </c>
      <c r="Y632" s="9" t="b">
        <f t="shared" ca="1" si="90"/>
        <v>0</v>
      </c>
      <c r="Z632" s="9" t="str">
        <f ca="1">IF(Y632,COUNTIF($Y$2:$Y632,TRUE),"")</f>
        <v/>
      </c>
      <c r="AA632" s="9" t="str">
        <f t="shared" ca="1" si="91"/>
        <v/>
      </c>
      <c r="AB632" s="9" t="str">
        <f t="shared" ca="1" si="92"/>
        <v/>
      </c>
      <c r="AC632" s="9" t="str">
        <f t="shared" ca="1" si="93"/>
        <v/>
      </c>
      <c r="AD632" s="9" t="str">
        <f t="shared" ca="1" si="94"/>
        <v/>
      </c>
      <c r="AE632" s="9" t="str">
        <f t="shared" ca="1" si="95"/>
        <v/>
      </c>
      <c r="AF632" s="9" t="str">
        <f ca="1">IF(AND(Y632,AA632="ERREUR"),COUNTIF($AA$2:$AA632,"ERREUR"),"")</f>
        <v/>
      </c>
    </row>
    <row r="633" spans="23:32" ht="25" customHeight="1">
      <c r="W633" s="19">
        <f t="shared" ca="1" si="88"/>
        <v>45837</v>
      </c>
      <c r="X633" s="9" t="str">
        <f t="shared" ca="1" si="89"/>
        <v>29062025</v>
      </c>
      <c r="Y633" s="9" t="b">
        <f t="shared" ca="1" si="90"/>
        <v>0</v>
      </c>
      <c r="Z633" s="9" t="str">
        <f ca="1">IF(Y633,COUNTIF($Y$2:$Y633,TRUE),"")</f>
        <v/>
      </c>
      <c r="AA633" s="9" t="str">
        <f t="shared" ca="1" si="91"/>
        <v/>
      </c>
      <c r="AB633" s="9" t="str">
        <f t="shared" ca="1" si="92"/>
        <v/>
      </c>
      <c r="AC633" s="9" t="str">
        <f t="shared" ca="1" si="93"/>
        <v/>
      </c>
      <c r="AD633" s="9" t="str">
        <f t="shared" ca="1" si="94"/>
        <v/>
      </c>
      <c r="AE633" s="9" t="str">
        <f t="shared" ca="1" si="95"/>
        <v/>
      </c>
      <c r="AF633" s="9" t="str">
        <f ca="1">IF(AND(Y633,AA633="ERREUR"),COUNTIF($AA$2:$AA633,"ERREUR"),"")</f>
        <v/>
      </c>
    </row>
    <row r="634" spans="23:32" ht="25" customHeight="1">
      <c r="W634" s="19">
        <f t="shared" ca="1" si="88"/>
        <v>45836</v>
      </c>
      <c r="X634" s="9" t="str">
        <f t="shared" ca="1" si="89"/>
        <v>28062025</v>
      </c>
      <c r="Y634" s="9" t="b">
        <f t="shared" ca="1" si="90"/>
        <v>0</v>
      </c>
      <c r="Z634" s="9" t="str">
        <f ca="1">IF(Y634,COUNTIF($Y$2:$Y634,TRUE),"")</f>
        <v/>
      </c>
      <c r="AA634" s="9" t="str">
        <f t="shared" ca="1" si="91"/>
        <v/>
      </c>
      <c r="AB634" s="9" t="str">
        <f t="shared" ca="1" si="92"/>
        <v/>
      </c>
      <c r="AC634" s="9" t="str">
        <f t="shared" ca="1" si="93"/>
        <v/>
      </c>
      <c r="AD634" s="9" t="str">
        <f t="shared" ca="1" si="94"/>
        <v/>
      </c>
      <c r="AE634" s="9" t="str">
        <f t="shared" ca="1" si="95"/>
        <v/>
      </c>
      <c r="AF634" s="9" t="str">
        <f ca="1">IF(AND(Y634,AA634="ERREUR"),COUNTIF($AA$2:$AA634,"ERREUR"),"")</f>
        <v/>
      </c>
    </row>
    <row r="635" spans="23:32" ht="25" customHeight="1">
      <c r="W635" s="19">
        <f t="shared" ca="1" si="88"/>
        <v>45835</v>
      </c>
      <c r="X635" s="9" t="str">
        <f t="shared" ca="1" si="89"/>
        <v>27062025</v>
      </c>
      <c r="Y635" s="9" t="b">
        <f t="shared" ca="1" si="90"/>
        <v>0</v>
      </c>
      <c r="Z635" s="9" t="str">
        <f ca="1">IF(Y635,COUNTIF($Y$2:$Y635,TRUE),"")</f>
        <v/>
      </c>
      <c r="AA635" s="9" t="str">
        <f t="shared" ca="1" si="91"/>
        <v/>
      </c>
      <c r="AB635" s="9" t="str">
        <f t="shared" ca="1" si="92"/>
        <v/>
      </c>
      <c r="AC635" s="9" t="str">
        <f t="shared" ca="1" si="93"/>
        <v/>
      </c>
      <c r="AD635" s="9" t="str">
        <f t="shared" ca="1" si="94"/>
        <v/>
      </c>
      <c r="AE635" s="9" t="str">
        <f t="shared" ca="1" si="95"/>
        <v/>
      </c>
      <c r="AF635" s="9" t="str">
        <f ca="1">IF(AND(Y635,AA635="ERREUR"),COUNTIF($AA$2:$AA635,"ERREUR"),"")</f>
        <v/>
      </c>
    </row>
    <row r="636" spans="23:32" ht="25" customHeight="1">
      <c r="W636" s="19">
        <f t="shared" ca="1" si="88"/>
        <v>45834</v>
      </c>
      <c r="X636" s="9" t="str">
        <f t="shared" ca="1" si="89"/>
        <v>26062025</v>
      </c>
      <c r="Y636" s="9" t="b">
        <f t="shared" ca="1" si="90"/>
        <v>0</v>
      </c>
      <c r="Z636" s="9" t="str">
        <f ca="1">IF(Y636,COUNTIF($Y$2:$Y636,TRUE),"")</f>
        <v/>
      </c>
      <c r="AA636" s="9" t="str">
        <f t="shared" ca="1" si="91"/>
        <v/>
      </c>
      <c r="AB636" s="9" t="str">
        <f t="shared" ca="1" si="92"/>
        <v/>
      </c>
      <c r="AC636" s="9" t="str">
        <f t="shared" ca="1" si="93"/>
        <v/>
      </c>
      <c r="AD636" s="9" t="str">
        <f t="shared" ca="1" si="94"/>
        <v/>
      </c>
      <c r="AE636" s="9" t="str">
        <f t="shared" ca="1" si="95"/>
        <v/>
      </c>
      <c r="AF636" s="9" t="str">
        <f ca="1">IF(AND(Y636,AA636="ERREUR"),COUNTIF($AA$2:$AA636,"ERREUR"),"")</f>
        <v/>
      </c>
    </row>
    <row r="637" spans="23:32" ht="25" customHeight="1">
      <c r="W637" s="19">
        <f t="shared" ca="1" si="88"/>
        <v>45833</v>
      </c>
      <c r="X637" s="9" t="str">
        <f t="shared" ca="1" si="89"/>
        <v>25062025</v>
      </c>
      <c r="Y637" s="9" t="b">
        <f t="shared" ca="1" si="90"/>
        <v>0</v>
      </c>
      <c r="Z637" s="9" t="str">
        <f ca="1">IF(Y637,COUNTIF($Y$2:$Y637,TRUE),"")</f>
        <v/>
      </c>
      <c r="AA637" s="9" t="str">
        <f t="shared" ca="1" si="91"/>
        <v/>
      </c>
      <c r="AB637" s="9" t="str">
        <f t="shared" ca="1" si="92"/>
        <v/>
      </c>
      <c r="AC637" s="9" t="str">
        <f t="shared" ca="1" si="93"/>
        <v/>
      </c>
      <c r="AD637" s="9" t="str">
        <f t="shared" ca="1" si="94"/>
        <v/>
      </c>
      <c r="AE637" s="9" t="str">
        <f t="shared" ca="1" si="95"/>
        <v/>
      </c>
      <c r="AF637" s="9" t="str">
        <f ca="1">IF(AND(Y637,AA637="ERREUR"),COUNTIF($AA$2:$AA637,"ERREUR"),"")</f>
        <v/>
      </c>
    </row>
    <row r="638" spans="23:32" ht="25" customHeight="1">
      <c r="W638" s="19">
        <f t="shared" ca="1" si="88"/>
        <v>45832</v>
      </c>
      <c r="X638" s="9" t="str">
        <f t="shared" ca="1" si="89"/>
        <v>24062025</v>
      </c>
      <c r="Y638" s="9" t="b">
        <f t="shared" ca="1" si="90"/>
        <v>0</v>
      </c>
      <c r="Z638" s="9" t="str">
        <f ca="1">IF(Y638,COUNTIF($Y$2:$Y638,TRUE),"")</f>
        <v/>
      </c>
      <c r="AA638" s="9" t="str">
        <f t="shared" ca="1" si="91"/>
        <v/>
      </c>
      <c r="AB638" s="9" t="str">
        <f t="shared" ca="1" si="92"/>
        <v/>
      </c>
      <c r="AC638" s="9" t="str">
        <f t="shared" ca="1" si="93"/>
        <v/>
      </c>
      <c r="AD638" s="9" t="str">
        <f t="shared" ca="1" si="94"/>
        <v/>
      </c>
      <c r="AE638" s="9" t="str">
        <f t="shared" ca="1" si="95"/>
        <v/>
      </c>
      <c r="AF638" s="9" t="str">
        <f ca="1">IF(AND(Y638,AA638="ERREUR"),COUNTIF($AA$2:$AA638,"ERREUR"),"")</f>
        <v/>
      </c>
    </row>
    <row r="639" spans="23:32" ht="25" customHeight="1">
      <c r="W639" s="19">
        <f t="shared" ca="1" si="88"/>
        <v>45831</v>
      </c>
      <c r="X639" s="9" t="str">
        <f t="shared" ca="1" si="89"/>
        <v>23062025</v>
      </c>
      <c r="Y639" s="9" t="b">
        <f t="shared" ca="1" si="90"/>
        <v>0</v>
      </c>
      <c r="Z639" s="9" t="str">
        <f ca="1">IF(Y639,COUNTIF($Y$2:$Y639,TRUE),"")</f>
        <v/>
      </c>
      <c r="AA639" s="9" t="str">
        <f t="shared" ca="1" si="91"/>
        <v/>
      </c>
      <c r="AB639" s="9" t="str">
        <f t="shared" ca="1" si="92"/>
        <v/>
      </c>
      <c r="AC639" s="9" t="str">
        <f t="shared" ca="1" si="93"/>
        <v/>
      </c>
      <c r="AD639" s="9" t="str">
        <f t="shared" ca="1" si="94"/>
        <v/>
      </c>
      <c r="AE639" s="9" t="str">
        <f t="shared" ca="1" si="95"/>
        <v/>
      </c>
      <c r="AF639" s="9" t="str">
        <f ca="1">IF(AND(Y639,AA639="ERREUR"),COUNTIF($AA$2:$AA639,"ERREUR"),"")</f>
        <v/>
      </c>
    </row>
    <row r="640" spans="23:32" ht="25" customHeight="1">
      <c r="W640" s="19">
        <f t="shared" ca="1" si="88"/>
        <v>45830</v>
      </c>
      <c r="X640" s="9" t="str">
        <f t="shared" ca="1" si="89"/>
        <v>22062025</v>
      </c>
      <c r="Y640" s="9" t="b">
        <f t="shared" ca="1" si="90"/>
        <v>0</v>
      </c>
      <c r="Z640" s="9" t="str">
        <f ca="1">IF(Y640,COUNTIF($Y$2:$Y640,TRUE),"")</f>
        <v/>
      </c>
      <c r="AA640" s="9" t="str">
        <f t="shared" ca="1" si="91"/>
        <v/>
      </c>
      <c r="AB640" s="9" t="str">
        <f t="shared" ca="1" si="92"/>
        <v/>
      </c>
      <c r="AC640" s="9" t="str">
        <f t="shared" ca="1" si="93"/>
        <v/>
      </c>
      <c r="AD640" s="9" t="str">
        <f t="shared" ca="1" si="94"/>
        <v/>
      </c>
      <c r="AE640" s="9" t="str">
        <f t="shared" ca="1" si="95"/>
        <v/>
      </c>
      <c r="AF640" s="9" t="str">
        <f ca="1">IF(AND(Y640,AA640="ERREUR"),COUNTIF($AA$2:$AA640,"ERREUR"),"")</f>
        <v/>
      </c>
    </row>
    <row r="641" spans="23:32" ht="25" customHeight="1">
      <c r="W641" s="19">
        <f t="shared" ca="1" si="88"/>
        <v>45829</v>
      </c>
      <c r="X641" s="9" t="str">
        <f t="shared" ca="1" si="89"/>
        <v>21062025</v>
      </c>
      <c r="Y641" s="9" t="b">
        <f t="shared" ca="1" si="90"/>
        <v>0</v>
      </c>
      <c r="Z641" s="9" t="str">
        <f ca="1">IF(Y641,COUNTIF($Y$2:$Y641,TRUE),"")</f>
        <v/>
      </c>
      <c r="AA641" s="9" t="str">
        <f t="shared" ca="1" si="91"/>
        <v/>
      </c>
      <c r="AB641" s="9" t="str">
        <f t="shared" ca="1" si="92"/>
        <v/>
      </c>
      <c r="AC641" s="9" t="str">
        <f t="shared" ca="1" si="93"/>
        <v/>
      </c>
      <c r="AD641" s="9" t="str">
        <f t="shared" ca="1" si="94"/>
        <v/>
      </c>
      <c r="AE641" s="9" t="str">
        <f t="shared" ca="1" si="95"/>
        <v/>
      </c>
      <c r="AF641" s="9" t="str">
        <f ca="1">IF(AND(Y641,AA641="ERREUR"),COUNTIF($AA$2:$AA641,"ERREUR"),"")</f>
        <v/>
      </c>
    </row>
    <row r="642" spans="23:32" ht="25" customHeight="1">
      <c r="W642" s="19">
        <f t="shared" ref="W642:W705" ca="1" si="96">TODAY()+365-ROW()+2</f>
        <v>45828</v>
      </c>
      <c r="X642" s="9" t="str">
        <f t="shared" ref="X642:X705" ca="1" si="97">RIGHT("0"&amp;DAY(W642),2)&amp;RIGHT("0"&amp;MONTH(W642),2)&amp;YEAR(W642)</f>
        <v>20062025</v>
      </c>
      <c r="Y642" s="9" t="b">
        <f t="shared" ref="Y642:Y705" ca="1" si="98">IFERROR(INDIRECT(CHAR(39)&amp;X642&amp;CHAR(39)&amp;"!C3")="DATE DE CAISSE",FALSE)</f>
        <v>0</v>
      </c>
      <c r="Z642" s="9" t="str">
        <f ca="1">IF(Y642,COUNTIF($Y$2:$Y642,TRUE),"")</f>
        <v/>
      </c>
      <c r="AA642" s="9" t="str">
        <f t="shared" ref="AA642:AA705" ca="1" si="99">IF($Y642,IFERROR(IF(INDIRECT(CHAR(39)&amp;$X642&amp;CHAR(39)&amp;"!P3")="VIDE","NON SAISIE",INDIRECT(CHAR(39)&amp;$X642&amp;CHAR(39)&amp;"!P3")),""),"")</f>
        <v/>
      </c>
      <c r="AB642" s="9" t="str">
        <f t="shared" ref="AB642:AB705" ca="1" si="100">IF($Y642,IFERROR(INDIRECT(CHAR(39)&amp;$X642&amp;CHAR(39)&amp;"!M59"),""),"")</f>
        <v/>
      </c>
      <c r="AC642" s="9" t="str">
        <f t="shared" ref="AC642:AC705" ca="1" si="101">IF(Y642,IFERROR(INDIRECT(CHAR(39)&amp;X642&amp;CHAR(39)&amp;"!M3"),""),"")</f>
        <v/>
      </c>
      <c r="AD642" s="9" t="str">
        <f t="shared" ref="AD642:AD705" ca="1" si="102">IF(Y642,IFERROR(INDIRECT(CHAR(39)&amp;X642&amp;CHAR(39)&amp;"!M60"),""),"")</f>
        <v/>
      </c>
      <c r="AE642" s="9" t="str">
        <f t="shared" ref="AE642:AE705" ca="1" si="103">IF($Y642,IF($AA642="OK","RAS",IF($AA642="NON SAISIE","Non saisie",IF($AC642&lt;&gt;0,"Ecart de saisie",IF($AD642&lt;&gt;0,"Ecart de caisse",IF(IFERROR(COUNTIF(INDIRECT(CHAR(39)&amp;$X642&amp;CHAR(39)&amp;"!M11:M40"),"ERREUR"),0)&gt;0,"Lignes facture",IF(IFERROR(COUNTIF(INDIRECT(CHAR(39)&amp;$X642&amp;CHAR(39)&amp;"!N47:N50"),"&lt;&gt;OK"),0)&gt;0,"Controle banque","A verifier")))))),"")</f>
        <v/>
      </c>
      <c r="AF642" s="9" t="str">
        <f ca="1">IF(AND(Y642,AA642="ERREUR"),COUNTIF($AA$2:$AA642,"ERREUR"),"")</f>
        <v/>
      </c>
    </row>
    <row r="643" spans="23:32" ht="25" customHeight="1">
      <c r="W643" s="19">
        <f t="shared" ca="1" si="96"/>
        <v>45827</v>
      </c>
      <c r="X643" s="9" t="str">
        <f t="shared" ca="1" si="97"/>
        <v>19062025</v>
      </c>
      <c r="Y643" s="9" t="b">
        <f t="shared" ca="1" si="98"/>
        <v>0</v>
      </c>
      <c r="Z643" s="9" t="str">
        <f ca="1">IF(Y643,COUNTIF($Y$2:$Y643,TRUE),"")</f>
        <v/>
      </c>
      <c r="AA643" s="9" t="str">
        <f t="shared" ca="1" si="99"/>
        <v/>
      </c>
      <c r="AB643" s="9" t="str">
        <f t="shared" ca="1" si="100"/>
        <v/>
      </c>
      <c r="AC643" s="9" t="str">
        <f t="shared" ca="1" si="101"/>
        <v/>
      </c>
      <c r="AD643" s="9" t="str">
        <f t="shared" ca="1" si="102"/>
        <v/>
      </c>
      <c r="AE643" s="9" t="str">
        <f t="shared" ca="1" si="103"/>
        <v/>
      </c>
      <c r="AF643" s="9" t="str">
        <f ca="1">IF(AND(Y643,AA643="ERREUR"),COUNTIF($AA$2:$AA643,"ERREUR"),"")</f>
        <v/>
      </c>
    </row>
    <row r="644" spans="23:32" ht="25" customHeight="1">
      <c r="W644" s="19">
        <f t="shared" ca="1" si="96"/>
        <v>45826</v>
      </c>
      <c r="X644" s="9" t="str">
        <f t="shared" ca="1" si="97"/>
        <v>18062025</v>
      </c>
      <c r="Y644" s="9" t="b">
        <f t="shared" ca="1" si="98"/>
        <v>0</v>
      </c>
      <c r="Z644" s="9" t="str">
        <f ca="1">IF(Y644,COUNTIF($Y$2:$Y644,TRUE),"")</f>
        <v/>
      </c>
      <c r="AA644" s="9" t="str">
        <f t="shared" ca="1" si="99"/>
        <v/>
      </c>
      <c r="AB644" s="9" t="str">
        <f t="shared" ca="1" si="100"/>
        <v/>
      </c>
      <c r="AC644" s="9" t="str">
        <f t="shared" ca="1" si="101"/>
        <v/>
      </c>
      <c r="AD644" s="9" t="str">
        <f t="shared" ca="1" si="102"/>
        <v/>
      </c>
      <c r="AE644" s="9" t="str">
        <f t="shared" ca="1" si="103"/>
        <v/>
      </c>
      <c r="AF644" s="9" t="str">
        <f ca="1">IF(AND(Y644,AA644="ERREUR"),COUNTIF($AA$2:$AA644,"ERREUR"),"")</f>
        <v/>
      </c>
    </row>
    <row r="645" spans="23:32" ht="25" customHeight="1">
      <c r="W645" s="19">
        <f t="shared" ca="1" si="96"/>
        <v>45825</v>
      </c>
      <c r="X645" s="9" t="str">
        <f t="shared" ca="1" si="97"/>
        <v>17062025</v>
      </c>
      <c r="Y645" s="9" t="b">
        <f t="shared" ca="1" si="98"/>
        <v>0</v>
      </c>
      <c r="Z645" s="9" t="str">
        <f ca="1">IF(Y645,COUNTIF($Y$2:$Y645,TRUE),"")</f>
        <v/>
      </c>
      <c r="AA645" s="9" t="str">
        <f t="shared" ca="1" si="99"/>
        <v/>
      </c>
      <c r="AB645" s="9" t="str">
        <f t="shared" ca="1" si="100"/>
        <v/>
      </c>
      <c r="AC645" s="9" t="str">
        <f t="shared" ca="1" si="101"/>
        <v/>
      </c>
      <c r="AD645" s="9" t="str">
        <f t="shared" ca="1" si="102"/>
        <v/>
      </c>
      <c r="AE645" s="9" t="str">
        <f t="shared" ca="1" si="103"/>
        <v/>
      </c>
      <c r="AF645" s="9" t="str">
        <f ca="1">IF(AND(Y645,AA645="ERREUR"),COUNTIF($AA$2:$AA645,"ERREUR"),"")</f>
        <v/>
      </c>
    </row>
    <row r="646" spans="23:32" ht="25" customHeight="1">
      <c r="W646" s="19">
        <f t="shared" ca="1" si="96"/>
        <v>45824</v>
      </c>
      <c r="X646" s="9" t="str">
        <f t="shared" ca="1" si="97"/>
        <v>16062025</v>
      </c>
      <c r="Y646" s="9" t="b">
        <f t="shared" ca="1" si="98"/>
        <v>0</v>
      </c>
      <c r="Z646" s="9" t="str">
        <f ca="1">IF(Y646,COUNTIF($Y$2:$Y646,TRUE),"")</f>
        <v/>
      </c>
      <c r="AA646" s="9" t="str">
        <f t="shared" ca="1" si="99"/>
        <v/>
      </c>
      <c r="AB646" s="9" t="str">
        <f t="shared" ca="1" si="100"/>
        <v/>
      </c>
      <c r="AC646" s="9" t="str">
        <f t="shared" ca="1" si="101"/>
        <v/>
      </c>
      <c r="AD646" s="9" t="str">
        <f t="shared" ca="1" si="102"/>
        <v/>
      </c>
      <c r="AE646" s="9" t="str">
        <f t="shared" ca="1" si="103"/>
        <v/>
      </c>
      <c r="AF646" s="9" t="str">
        <f ca="1">IF(AND(Y646,AA646="ERREUR"),COUNTIF($AA$2:$AA646,"ERREUR"),"")</f>
        <v/>
      </c>
    </row>
    <row r="647" spans="23:32" ht="25" customHeight="1">
      <c r="W647" s="19">
        <f t="shared" ca="1" si="96"/>
        <v>45823</v>
      </c>
      <c r="X647" s="9" t="str">
        <f t="shared" ca="1" si="97"/>
        <v>15062025</v>
      </c>
      <c r="Y647" s="9" t="b">
        <f t="shared" ca="1" si="98"/>
        <v>0</v>
      </c>
      <c r="Z647" s="9" t="str">
        <f ca="1">IF(Y647,COUNTIF($Y$2:$Y647,TRUE),"")</f>
        <v/>
      </c>
      <c r="AA647" s="9" t="str">
        <f t="shared" ca="1" si="99"/>
        <v/>
      </c>
      <c r="AB647" s="9" t="str">
        <f t="shared" ca="1" si="100"/>
        <v/>
      </c>
      <c r="AC647" s="9" t="str">
        <f t="shared" ca="1" si="101"/>
        <v/>
      </c>
      <c r="AD647" s="9" t="str">
        <f t="shared" ca="1" si="102"/>
        <v/>
      </c>
      <c r="AE647" s="9" t="str">
        <f t="shared" ca="1" si="103"/>
        <v/>
      </c>
      <c r="AF647" s="9" t="str">
        <f ca="1">IF(AND(Y647,AA647="ERREUR"),COUNTIF($AA$2:$AA647,"ERREUR"),"")</f>
        <v/>
      </c>
    </row>
    <row r="648" spans="23:32" ht="25" customHeight="1">
      <c r="W648" s="19">
        <f t="shared" ca="1" si="96"/>
        <v>45822</v>
      </c>
      <c r="X648" s="9" t="str">
        <f t="shared" ca="1" si="97"/>
        <v>14062025</v>
      </c>
      <c r="Y648" s="9" t="b">
        <f t="shared" ca="1" si="98"/>
        <v>0</v>
      </c>
      <c r="Z648" s="9" t="str">
        <f ca="1">IF(Y648,COUNTIF($Y$2:$Y648,TRUE),"")</f>
        <v/>
      </c>
      <c r="AA648" s="9" t="str">
        <f t="shared" ca="1" si="99"/>
        <v/>
      </c>
      <c r="AB648" s="9" t="str">
        <f t="shared" ca="1" si="100"/>
        <v/>
      </c>
      <c r="AC648" s="9" t="str">
        <f t="shared" ca="1" si="101"/>
        <v/>
      </c>
      <c r="AD648" s="9" t="str">
        <f t="shared" ca="1" si="102"/>
        <v/>
      </c>
      <c r="AE648" s="9" t="str">
        <f t="shared" ca="1" si="103"/>
        <v/>
      </c>
      <c r="AF648" s="9" t="str">
        <f ca="1">IF(AND(Y648,AA648="ERREUR"),COUNTIF($AA$2:$AA648,"ERREUR"),"")</f>
        <v/>
      </c>
    </row>
    <row r="649" spans="23:32" ht="25" customHeight="1">
      <c r="W649" s="19">
        <f t="shared" ca="1" si="96"/>
        <v>45821</v>
      </c>
      <c r="X649" s="9" t="str">
        <f t="shared" ca="1" si="97"/>
        <v>13062025</v>
      </c>
      <c r="Y649" s="9" t="b">
        <f t="shared" ca="1" si="98"/>
        <v>0</v>
      </c>
      <c r="Z649" s="9" t="str">
        <f ca="1">IF(Y649,COUNTIF($Y$2:$Y649,TRUE),"")</f>
        <v/>
      </c>
      <c r="AA649" s="9" t="str">
        <f t="shared" ca="1" si="99"/>
        <v/>
      </c>
      <c r="AB649" s="9" t="str">
        <f t="shared" ca="1" si="100"/>
        <v/>
      </c>
      <c r="AC649" s="9" t="str">
        <f t="shared" ca="1" si="101"/>
        <v/>
      </c>
      <c r="AD649" s="9" t="str">
        <f t="shared" ca="1" si="102"/>
        <v/>
      </c>
      <c r="AE649" s="9" t="str">
        <f t="shared" ca="1" si="103"/>
        <v/>
      </c>
      <c r="AF649" s="9" t="str">
        <f ca="1">IF(AND(Y649,AA649="ERREUR"),COUNTIF($AA$2:$AA649,"ERREUR"),"")</f>
        <v/>
      </c>
    </row>
    <row r="650" spans="23:32" ht="25" customHeight="1">
      <c r="W650" s="19">
        <f t="shared" ca="1" si="96"/>
        <v>45820</v>
      </c>
      <c r="X650" s="9" t="str">
        <f t="shared" ca="1" si="97"/>
        <v>12062025</v>
      </c>
      <c r="Y650" s="9" t="b">
        <f t="shared" ca="1" si="98"/>
        <v>0</v>
      </c>
      <c r="Z650" s="9" t="str">
        <f ca="1">IF(Y650,COUNTIF($Y$2:$Y650,TRUE),"")</f>
        <v/>
      </c>
      <c r="AA650" s="9" t="str">
        <f t="shared" ca="1" si="99"/>
        <v/>
      </c>
      <c r="AB650" s="9" t="str">
        <f t="shared" ca="1" si="100"/>
        <v/>
      </c>
      <c r="AC650" s="9" t="str">
        <f t="shared" ca="1" si="101"/>
        <v/>
      </c>
      <c r="AD650" s="9" t="str">
        <f t="shared" ca="1" si="102"/>
        <v/>
      </c>
      <c r="AE650" s="9" t="str">
        <f t="shared" ca="1" si="103"/>
        <v/>
      </c>
      <c r="AF650" s="9" t="str">
        <f ca="1">IF(AND(Y650,AA650="ERREUR"),COUNTIF($AA$2:$AA650,"ERREUR"),"")</f>
        <v/>
      </c>
    </row>
    <row r="651" spans="23:32" ht="25" customHeight="1">
      <c r="W651" s="19">
        <f t="shared" ca="1" si="96"/>
        <v>45819</v>
      </c>
      <c r="X651" s="9" t="str">
        <f t="shared" ca="1" si="97"/>
        <v>11062025</v>
      </c>
      <c r="Y651" s="9" t="b">
        <f t="shared" ca="1" si="98"/>
        <v>0</v>
      </c>
      <c r="Z651" s="9" t="str">
        <f ca="1">IF(Y651,COUNTIF($Y$2:$Y651,TRUE),"")</f>
        <v/>
      </c>
      <c r="AA651" s="9" t="str">
        <f t="shared" ca="1" si="99"/>
        <v/>
      </c>
      <c r="AB651" s="9" t="str">
        <f t="shared" ca="1" si="100"/>
        <v/>
      </c>
      <c r="AC651" s="9" t="str">
        <f t="shared" ca="1" si="101"/>
        <v/>
      </c>
      <c r="AD651" s="9" t="str">
        <f t="shared" ca="1" si="102"/>
        <v/>
      </c>
      <c r="AE651" s="9" t="str">
        <f t="shared" ca="1" si="103"/>
        <v/>
      </c>
      <c r="AF651" s="9" t="str">
        <f ca="1">IF(AND(Y651,AA651="ERREUR"),COUNTIF($AA$2:$AA651,"ERREUR"),"")</f>
        <v/>
      </c>
    </row>
    <row r="652" spans="23:32" ht="25" customHeight="1">
      <c r="W652" s="19">
        <f t="shared" ca="1" si="96"/>
        <v>45818</v>
      </c>
      <c r="X652" s="9" t="str">
        <f t="shared" ca="1" si="97"/>
        <v>10062025</v>
      </c>
      <c r="Y652" s="9" t="b">
        <f t="shared" ca="1" si="98"/>
        <v>0</v>
      </c>
      <c r="Z652" s="9" t="str">
        <f ca="1">IF(Y652,COUNTIF($Y$2:$Y652,TRUE),"")</f>
        <v/>
      </c>
      <c r="AA652" s="9" t="str">
        <f t="shared" ca="1" si="99"/>
        <v/>
      </c>
      <c r="AB652" s="9" t="str">
        <f t="shared" ca="1" si="100"/>
        <v/>
      </c>
      <c r="AC652" s="9" t="str">
        <f t="shared" ca="1" si="101"/>
        <v/>
      </c>
      <c r="AD652" s="9" t="str">
        <f t="shared" ca="1" si="102"/>
        <v/>
      </c>
      <c r="AE652" s="9" t="str">
        <f t="shared" ca="1" si="103"/>
        <v/>
      </c>
      <c r="AF652" s="9" t="str">
        <f ca="1">IF(AND(Y652,AA652="ERREUR"),COUNTIF($AA$2:$AA652,"ERREUR"),"")</f>
        <v/>
      </c>
    </row>
    <row r="653" spans="23:32" ht="25" customHeight="1">
      <c r="W653" s="19">
        <f t="shared" ca="1" si="96"/>
        <v>45817</v>
      </c>
      <c r="X653" s="9" t="str">
        <f t="shared" ca="1" si="97"/>
        <v>09062025</v>
      </c>
      <c r="Y653" s="9" t="b">
        <f t="shared" ca="1" si="98"/>
        <v>0</v>
      </c>
      <c r="Z653" s="9" t="str">
        <f ca="1">IF(Y653,COUNTIF($Y$2:$Y653,TRUE),"")</f>
        <v/>
      </c>
      <c r="AA653" s="9" t="str">
        <f t="shared" ca="1" si="99"/>
        <v/>
      </c>
      <c r="AB653" s="9" t="str">
        <f t="shared" ca="1" si="100"/>
        <v/>
      </c>
      <c r="AC653" s="9" t="str">
        <f t="shared" ca="1" si="101"/>
        <v/>
      </c>
      <c r="AD653" s="9" t="str">
        <f t="shared" ca="1" si="102"/>
        <v/>
      </c>
      <c r="AE653" s="9" t="str">
        <f t="shared" ca="1" si="103"/>
        <v/>
      </c>
      <c r="AF653" s="9" t="str">
        <f ca="1">IF(AND(Y653,AA653="ERREUR"),COUNTIF($AA$2:$AA653,"ERREUR"),"")</f>
        <v/>
      </c>
    </row>
    <row r="654" spans="23:32" ht="25" customHeight="1">
      <c r="W654" s="19">
        <f t="shared" ca="1" si="96"/>
        <v>45816</v>
      </c>
      <c r="X654" s="9" t="str">
        <f t="shared" ca="1" si="97"/>
        <v>08062025</v>
      </c>
      <c r="Y654" s="9" t="b">
        <f t="shared" ca="1" si="98"/>
        <v>0</v>
      </c>
      <c r="Z654" s="9" t="str">
        <f ca="1">IF(Y654,COUNTIF($Y$2:$Y654,TRUE),"")</f>
        <v/>
      </c>
      <c r="AA654" s="9" t="str">
        <f t="shared" ca="1" si="99"/>
        <v/>
      </c>
      <c r="AB654" s="9" t="str">
        <f t="shared" ca="1" si="100"/>
        <v/>
      </c>
      <c r="AC654" s="9" t="str">
        <f t="shared" ca="1" si="101"/>
        <v/>
      </c>
      <c r="AD654" s="9" t="str">
        <f t="shared" ca="1" si="102"/>
        <v/>
      </c>
      <c r="AE654" s="9" t="str">
        <f t="shared" ca="1" si="103"/>
        <v/>
      </c>
      <c r="AF654" s="9" t="str">
        <f ca="1">IF(AND(Y654,AA654="ERREUR"),COUNTIF($AA$2:$AA654,"ERREUR"),"")</f>
        <v/>
      </c>
    </row>
    <row r="655" spans="23:32" ht="25" customHeight="1">
      <c r="W655" s="19">
        <f t="shared" ca="1" si="96"/>
        <v>45815</v>
      </c>
      <c r="X655" s="9" t="str">
        <f t="shared" ca="1" si="97"/>
        <v>07062025</v>
      </c>
      <c r="Y655" s="9" t="b">
        <f t="shared" ca="1" si="98"/>
        <v>0</v>
      </c>
      <c r="Z655" s="9" t="str">
        <f ca="1">IF(Y655,COUNTIF($Y$2:$Y655,TRUE),"")</f>
        <v/>
      </c>
      <c r="AA655" s="9" t="str">
        <f t="shared" ca="1" si="99"/>
        <v/>
      </c>
      <c r="AB655" s="9" t="str">
        <f t="shared" ca="1" si="100"/>
        <v/>
      </c>
      <c r="AC655" s="9" t="str">
        <f t="shared" ca="1" si="101"/>
        <v/>
      </c>
      <c r="AD655" s="9" t="str">
        <f t="shared" ca="1" si="102"/>
        <v/>
      </c>
      <c r="AE655" s="9" t="str">
        <f t="shared" ca="1" si="103"/>
        <v/>
      </c>
      <c r="AF655" s="9" t="str">
        <f ca="1">IF(AND(Y655,AA655="ERREUR"),COUNTIF($AA$2:$AA655,"ERREUR"),"")</f>
        <v/>
      </c>
    </row>
    <row r="656" spans="23:32" ht="25" customHeight="1">
      <c r="W656" s="19">
        <f t="shared" ca="1" si="96"/>
        <v>45814</v>
      </c>
      <c r="X656" s="9" t="str">
        <f t="shared" ca="1" si="97"/>
        <v>06062025</v>
      </c>
      <c r="Y656" s="9" t="b">
        <f t="shared" ca="1" si="98"/>
        <v>0</v>
      </c>
      <c r="Z656" s="9" t="str">
        <f ca="1">IF(Y656,COUNTIF($Y$2:$Y656,TRUE),"")</f>
        <v/>
      </c>
      <c r="AA656" s="9" t="str">
        <f t="shared" ca="1" si="99"/>
        <v/>
      </c>
      <c r="AB656" s="9" t="str">
        <f t="shared" ca="1" si="100"/>
        <v/>
      </c>
      <c r="AC656" s="9" t="str">
        <f t="shared" ca="1" si="101"/>
        <v/>
      </c>
      <c r="AD656" s="9" t="str">
        <f t="shared" ca="1" si="102"/>
        <v/>
      </c>
      <c r="AE656" s="9" t="str">
        <f t="shared" ca="1" si="103"/>
        <v/>
      </c>
      <c r="AF656" s="9" t="str">
        <f ca="1">IF(AND(Y656,AA656="ERREUR"),COUNTIF($AA$2:$AA656,"ERREUR"),"")</f>
        <v/>
      </c>
    </row>
    <row r="657" spans="23:32" ht="25" customHeight="1">
      <c r="W657" s="19">
        <f t="shared" ca="1" si="96"/>
        <v>45813</v>
      </c>
      <c r="X657" s="9" t="str">
        <f t="shared" ca="1" si="97"/>
        <v>05062025</v>
      </c>
      <c r="Y657" s="9" t="b">
        <f t="shared" ca="1" si="98"/>
        <v>0</v>
      </c>
      <c r="Z657" s="9" t="str">
        <f ca="1">IF(Y657,COUNTIF($Y$2:$Y657,TRUE),"")</f>
        <v/>
      </c>
      <c r="AA657" s="9" t="str">
        <f t="shared" ca="1" si="99"/>
        <v/>
      </c>
      <c r="AB657" s="9" t="str">
        <f t="shared" ca="1" si="100"/>
        <v/>
      </c>
      <c r="AC657" s="9" t="str">
        <f t="shared" ca="1" si="101"/>
        <v/>
      </c>
      <c r="AD657" s="9" t="str">
        <f t="shared" ca="1" si="102"/>
        <v/>
      </c>
      <c r="AE657" s="9" t="str">
        <f t="shared" ca="1" si="103"/>
        <v/>
      </c>
      <c r="AF657" s="9" t="str">
        <f ca="1">IF(AND(Y657,AA657="ERREUR"),COUNTIF($AA$2:$AA657,"ERREUR"),"")</f>
        <v/>
      </c>
    </row>
    <row r="658" spans="23:32" ht="25" customHeight="1">
      <c r="W658" s="19">
        <f t="shared" ca="1" si="96"/>
        <v>45812</v>
      </c>
      <c r="X658" s="9" t="str">
        <f t="shared" ca="1" si="97"/>
        <v>04062025</v>
      </c>
      <c r="Y658" s="9" t="b">
        <f t="shared" ca="1" si="98"/>
        <v>0</v>
      </c>
      <c r="Z658" s="9" t="str">
        <f ca="1">IF(Y658,COUNTIF($Y$2:$Y658,TRUE),"")</f>
        <v/>
      </c>
      <c r="AA658" s="9" t="str">
        <f t="shared" ca="1" si="99"/>
        <v/>
      </c>
      <c r="AB658" s="9" t="str">
        <f t="shared" ca="1" si="100"/>
        <v/>
      </c>
      <c r="AC658" s="9" t="str">
        <f t="shared" ca="1" si="101"/>
        <v/>
      </c>
      <c r="AD658" s="9" t="str">
        <f t="shared" ca="1" si="102"/>
        <v/>
      </c>
      <c r="AE658" s="9" t="str">
        <f t="shared" ca="1" si="103"/>
        <v/>
      </c>
      <c r="AF658" s="9" t="str">
        <f ca="1">IF(AND(Y658,AA658="ERREUR"),COUNTIF($AA$2:$AA658,"ERREUR"),"")</f>
        <v/>
      </c>
    </row>
    <row r="659" spans="23:32" ht="25" customHeight="1">
      <c r="W659" s="19">
        <f t="shared" ca="1" si="96"/>
        <v>45811</v>
      </c>
      <c r="X659" s="9" t="str">
        <f t="shared" ca="1" si="97"/>
        <v>03062025</v>
      </c>
      <c r="Y659" s="9" t="b">
        <f t="shared" ca="1" si="98"/>
        <v>0</v>
      </c>
      <c r="Z659" s="9" t="str">
        <f ca="1">IF(Y659,COUNTIF($Y$2:$Y659,TRUE),"")</f>
        <v/>
      </c>
      <c r="AA659" s="9" t="str">
        <f t="shared" ca="1" si="99"/>
        <v/>
      </c>
      <c r="AB659" s="9" t="str">
        <f t="shared" ca="1" si="100"/>
        <v/>
      </c>
      <c r="AC659" s="9" t="str">
        <f t="shared" ca="1" si="101"/>
        <v/>
      </c>
      <c r="AD659" s="9" t="str">
        <f t="shared" ca="1" si="102"/>
        <v/>
      </c>
      <c r="AE659" s="9" t="str">
        <f t="shared" ca="1" si="103"/>
        <v/>
      </c>
      <c r="AF659" s="9" t="str">
        <f ca="1">IF(AND(Y659,AA659="ERREUR"),COUNTIF($AA$2:$AA659,"ERREUR"),"")</f>
        <v/>
      </c>
    </row>
    <row r="660" spans="23:32" ht="25" customHeight="1">
      <c r="W660" s="19">
        <f t="shared" ca="1" si="96"/>
        <v>45810</v>
      </c>
      <c r="X660" s="9" t="str">
        <f t="shared" ca="1" si="97"/>
        <v>02062025</v>
      </c>
      <c r="Y660" s="9" t="b">
        <f t="shared" ca="1" si="98"/>
        <v>0</v>
      </c>
      <c r="Z660" s="9" t="str">
        <f ca="1">IF(Y660,COUNTIF($Y$2:$Y660,TRUE),"")</f>
        <v/>
      </c>
      <c r="AA660" s="9" t="str">
        <f t="shared" ca="1" si="99"/>
        <v/>
      </c>
      <c r="AB660" s="9" t="str">
        <f t="shared" ca="1" si="100"/>
        <v/>
      </c>
      <c r="AC660" s="9" t="str">
        <f t="shared" ca="1" si="101"/>
        <v/>
      </c>
      <c r="AD660" s="9" t="str">
        <f t="shared" ca="1" si="102"/>
        <v/>
      </c>
      <c r="AE660" s="9" t="str">
        <f t="shared" ca="1" si="103"/>
        <v/>
      </c>
      <c r="AF660" s="9" t="str">
        <f ca="1">IF(AND(Y660,AA660="ERREUR"),COUNTIF($AA$2:$AA660,"ERREUR"),"")</f>
        <v/>
      </c>
    </row>
    <row r="661" spans="23:32" ht="25" customHeight="1">
      <c r="W661" s="19">
        <f t="shared" ca="1" si="96"/>
        <v>45809</v>
      </c>
      <c r="X661" s="9" t="str">
        <f t="shared" ca="1" si="97"/>
        <v>01062025</v>
      </c>
      <c r="Y661" s="9" t="b">
        <f t="shared" ca="1" si="98"/>
        <v>0</v>
      </c>
      <c r="Z661" s="9" t="str">
        <f ca="1">IF(Y661,COUNTIF($Y$2:$Y661,TRUE),"")</f>
        <v/>
      </c>
      <c r="AA661" s="9" t="str">
        <f t="shared" ca="1" si="99"/>
        <v/>
      </c>
      <c r="AB661" s="9" t="str">
        <f t="shared" ca="1" si="100"/>
        <v/>
      </c>
      <c r="AC661" s="9" t="str">
        <f t="shared" ca="1" si="101"/>
        <v/>
      </c>
      <c r="AD661" s="9" t="str">
        <f t="shared" ca="1" si="102"/>
        <v/>
      </c>
      <c r="AE661" s="9" t="str">
        <f t="shared" ca="1" si="103"/>
        <v/>
      </c>
      <c r="AF661" s="9" t="str">
        <f ca="1">IF(AND(Y661,AA661="ERREUR"),COUNTIF($AA$2:$AA661,"ERREUR"),"")</f>
        <v/>
      </c>
    </row>
    <row r="662" spans="23:32" ht="25" customHeight="1">
      <c r="W662" s="19">
        <f t="shared" ca="1" si="96"/>
        <v>45808</v>
      </c>
      <c r="X662" s="9" t="str">
        <f t="shared" ca="1" si="97"/>
        <v>31052025</v>
      </c>
      <c r="Y662" s="9" t="b">
        <f t="shared" ca="1" si="98"/>
        <v>0</v>
      </c>
      <c r="Z662" s="9" t="str">
        <f ca="1">IF(Y662,COUNTIF($Y$2:$Y662,TRUE),"")</f>
        <v/>
      </c>
      <c r="AA662" s="9" t="str">
        <f t="shared" ca="1" si="99"/>
        <v/>
      </c>
      <c r="AB662" s="9" t="str">
        <f t="shared" ca="1" si="100"/>
        <v/>
      </c>
      <c r="AC662" s="9" t="str">
        <f t="shared" ca="1" si="101"/>
        <v/>
      </c>
      <c r="AD662" s="9" t="str">
        <f t="shared" ca="1" si="102"/>
        <v/>
      </c>
      <c r="AE662" s="9" t="str">
        <f t="shared" ca="1" si="103"/>
        <v/>
      </c>
      <c r="AF662" s="9" t="str">
        <f ca="1">IF(AND(Y662,AA662="ERREUR"),COUNTIF($AA$2:$AA662,"ERREUR"),"")</f>
        <v/>
      </c>
    </row>
    <row r="663" spans="23:32" ht="25" customHeight="1">
      <c r="W663" s="19">
        <f t="shared" ca="1" si="96"/>
        <v>45807</v>
      </c>
      <c r="X663" s="9" t="str">
        <f t="shared" ca="1" si="97"/>
        <v>30052025</v>
      </c>
      <c r="Y663" s="9" t="b">
        <f t="shared" ca="1" si="98"/>
        <v>0</v>
      </c>
      <c r="Z663" s="9" t="str">
        <f ca="1">IF(Y663,COUNTIF($Y$2:$Y663,TRUE),"")</f>
        <v/>
      </c>
      <c r="AA663" s="9" t="str">
        <f t="shared" ca="1" si="99"/>
        <v/>
      </c>
      <c r="AB663" s="9" t="str">
        <f t="shared" ca="1" si="100"/>
        <v/>
      </c>
      <c r="AC663" s="9" t="str">
        <f t="shared" ca="1" si="101"/>
        <v/>
      </c>
      <c r="AD663" s="9" t="str">
        <f t="shared" ca="1" si="102"/>
        <v/>
      </c>
      <c r="AE663" s="9" t="str">
        <f t="shared" ca="1" si="103"/>
        <v/>
      </c>
      <c r="AF663" s="9" t="str">
        <f ca="1">IF(AND(Y663,AA663="ERREUR"),COUNTIF($AA$2:$AA663,"ERREUR"),"")</f>
        <v/>
      </c>
    </row>
    <row r="664" spans="23:32" ht="25" customHeight="1">
      <c r="W664" s="19">
        <f t="shared" ca="1" si="96"/>
        <v>45806</v>
      </c>
      <c r="X664" s="9" t="str">
        <f t="shared" ca="1" si="97"/>
        <v>29052025</v>
      </c>
      <c r="Y664" s="9" t="b">
        <f t="shared" ca="1" si="98"/>
        <v>0</v>
      </c>
      <c r="Z664" s="9" t="str">
        <f ca="1">IF(Y664,COUNTIF($Y$2:$Y664,TRUE),"")</f>
        <v/>
      </c>
      <c r="AA664" s="9" t="str">
        <f t="shared" ca="1" si="99"/>
        <v/>
      </c>
      <c r="AB664" s="9" t="str">
        <f t="shared" ca="1" si="100"/>
        <v/>
      </c>
      <c r="AC664" s="9" t="str">
        <f t="shared" ca="1" si="101"/>
        <v/>
      </c>
      <c r="AD664" s="9" t="str">
        <f t="shared" ca="1" si="102"/>
        <v/>
      </c>
      <c r="AE664" s="9" t="str">
        <f t="shared" ca="1" si="103"/>
        <v/>
      </c>
      <c r="AF664" s="9" t="str">
        <f ca="1">IF(AND(Y664,AA664="ERREUR"),COUNTIF($AA$2:$AA664,"ERREUR"),"")</f>
        <v/>
      </c>
    </row>
    <row r="665" spans="23:32" ht="25" customHeight="1">
      <c r="W665" s="19">
        <f t="shared" ca="1" si="96"/>
        <v>45805</v>
      </c>
      <c r="X665" s="9" t="str">
        <f t="shared" ca="1" si="97"/>
        <v>28052025</v>
      </c>
      <c r="Y665" s="9" t="b">
        <f t="shared" ca="1" si="98"/>
        <v>0</v>
      </c>
      <c r="Z665" s="9" t="str">
        <f ca="1">IF(Y665,COUNTIF($Y$2:$Y665,TRUE),"")</f>
        <v/>
      </c>
      <c r="AA665" s="9" t="str">
        <f t="shared" ca="1" si="99"/>
        <v/>
      </c>
      <c r="AB665" s="9" t="str">
        <f t="shared" ca="1" si="100"/>
        <v/>
      </c>
      <c r="AC665" s="9" t="str">
        <f t="shared" ca="1" si="101"/>
        <v/>
      </c>
      <c r="AD665" s="9" t="str">
        <f t="shared" ca="1" si="102"/>
        <v/>
      </c>
      <c r="AE665" s="9" t="str">
        <f t="shared" ca="1" si="103"/>
        <v/>
      </c>
      <c r="AF665" s="9" t="str">
        <f ca="1">IF(AND(Y665,AA665="ERREUR"),COUNTIF($AA$2:$AA665,"ERREUR"),"")</f>
        <v/>
      </c>
    </row>
    <row r="666" spans="23:32" ht="25" customHeight="1">
      <c r="W666" s="19">
        <f t="shared" ca="1" si="96"/>
        <v>45804</v>
      </c>
      <c r="X666" s="9" t="str">
        <f t="shared" ca="1" si="97"/>
        <v>27052025</v>
      </c>
      <c r="Y666" s="9" t="b">
        <f t="shared" ca="1" si="98"/>
        <v>0</v>
      </c>
      <c r="Z666" s="9" t="str">
        <f ca="1">IF(Y666,COUNTIF($Y$2:$Y666,TRUE),"")</f>
        <v/>
      </c>
      <c r="AA666" s="9" t="str">
        <f t="shared" ca="1" si="99"/>
        <v/>
      </c>
      <c r="AB666" s="9" t="str">
        <f t="shared" ca="1" si="100"/>
        <v/>
      </c>
      <c r="AC666" s="9" t="str">
        <f t="shared" ca="1" si="101"/>
        <v/>
      </c>
      <c r="AD666" s="9" t="str">
        <f t="shared" ca="1" si="102"/>
        <v/>
      </c>
      <c r="AE666" s="9" t="str">
        <f t="shared" ca="1" si="103"/>
        <v/>
      </c>
      <c r="AF666" s="9" t="str">
        <f ca="1">IF(AND(Y666,AA666="ERREUR"),COUNTIF($AA$2:$AA666,"ERREUR"),"")</f>
        <v/>
      </c>
    </row>
    <row r="667" spans="23:32" ht="25" customHeight="1">
      <c r="W667" s="19">
        <f t="shared" ca="1" si="96"/>
        <v>45803</v>
      </c>
      <c r="X667" s="9" t="str">
        <f t="shared" ca="1" si="97"/>
        <v>26052025</v>
      </c>
      <c r="Y667" s="9" t="b">
        <f t="shared" ca="1" si="98"/>
        <v>0</v>
      </c>
      <c r="Z667" s="9" t="str">
        <f ca="1">IF(Y667,COUNTIF($Y$2:$Y667,TRUE),"")</f>
        <v/>
      </c>
      <c r="AA667" s="9" t="str">
        <f t="shared" ca="1" si="99"/>
        <v/>
      </c>
      <c r="AB667" s="9" t="str">
        <f t="shared" ca="1" si="100"/>
        <v/>
      </c>
      <c r="AC667" s="9" t="str">
        <f t="shared" ca="1" si="101"/>
        <v/>
      </c>
      <c r="AD667" s="9" t="str">
        <f t="shared" ca="1" si="102"/>
        <v/>
      </c>
      <c r="AE667" s="9" t="str">
        <f t="shared" ca="1" si="103"/>
        <v/>
      </c>
      <c r="AF667" s="9" t="str">
        <f ca="1">IF(AND(Y667,AA667="ERREUR"),COUNTIF($AA$2:$AA667,"ERREUR"),"")</f>
        <v/>
      </c>
    </row>
    <row r="668" spans="23:32" ht="25" customHeight="1">
      <c r="W668" s="19">
        <f t="shared" ca="1" si="96"/>
        <v>45802</v>
      </c>
      <c r="X668" s="9" t="str">
        <f t="shared" ca="1" si="97"/>
        <v>25052025</v>
      </c>
      <c r="Y668" s="9" t="b">
        <f t="shared" ca="1" si="98"/>
        <v>0</v>
      </c>
      <c r="Z668" s="9" t="str">
        <f ca="1">IF(Y668,COUNTIF($Y$2:$Y668,TRUE),"")</f>
        <v/>
      </c>
      <c r="AA668" s="9" t="str">
        <f t="shared" ca="1" si="99"/>
        <v/>
      </c>
      <c r="AB668" s="9" t="str">
        <f t="shared" ca="1" si="100"/>
        <v/>
      </c>
      <c r="AC668" s="9" t="str">
        <f t="shared" ca="1" si="101"/>
        <v/>
      </c>
      <c r="AD668" s="9" t="str">
        <f t="shared" ca="1" si="102"/>
        <v/>
      </c>
      <c r="AE668" s="9" t="str">
        <f t="shared" ca="1" si="103"/>
        <v/>
      </c>
      <c r="AF668" s="9" t="str">
        <f ca="1">IF(AND(Y668,AA668="ERREUR"),COUNTIF($AA$2:$AA668,"ERREUR"),"")</f>
        <v/>
      </c>
    </row>
    <row r="669" spans="23:32" ht="25" customHeight="1">
      <c r="W669" s="19">
        <f t="shared" ca="1" si="96"/>
        <v>45801</v>
      </c>
      <c r="X669" s="9" t="str">
        <f t="shared" ca="1" si="97"/>
        <v>24052025</v>
      </c>
      <c r="Y669" s="9" t="b">
        <f t="shared" ca="1" si="98"/>
        <v>0</v>
      </c>
      <c r="Z669" s="9" t="str">
        <f ca="1">IF(Y669,COUNTIF($Y$2:$Y669,TRUE),"")</f>
        <v/>
      </c>
      <c r="AA669" s="9" t="str">
        <f t="shared" ca="1" si="99"/>
        <v/>
      </c>
      <c r="AB669" s="9" t="str">
        <f t="shared" ca="1" si="100"/>
        <v/>
      </c>
      <c r="AC669" s="9" t="str">
        <f t="shared" ca="1" si="101"/>
        <v/>
      </c>
      <c r="AD669" s="9" t="str">
        <f t="shared" ca="1" si="102"/>
        <v/>
      </c>
      <c r="AE669" s="9" t="str">
        <f t="shared" ca="1" si="103"/>
        <v/>
      </c>
      <c r="AF669" s="9" t="str">
        <f ca="1">IF(AND(Y669,AA669="ERREUR"),COUNTIF($AA$2:$AA669,"ERREUR"),"")</f>
        <v/>
      </c>
    </row>
    <row r="670" spans="23:32" ht="25" customHeight="1">
      <c r="W670" s="19">
        <f t="shared" ca="1" si="96"/>
        <v>45800</v>
      </c>
      <c r="X670" s="9" t="str">
        <f t="shared" ca="1" si="97"/>
        <v>23052025</v>
      </c>
      <c r="Y670" s="9" t="b">
        <f t="shared" ca="1" si="98"/>
        <v>0</v>
      </c>
      <c r="Z670" s="9" t="str">
        <f ca="1">IF(Y670,COUNTIF($Y$2:$Y670,TRUE),"")</f>
        <v/>
      </c>
      <c r="AA670" s="9" t="str">
        <f t="shared" ca="1" si="99"/>
        <v/>
      </c>
      <c r="AB670" s="9" t="str">
        <f t="shared" ca="1" si="100"/>
        <v/>
      </c>
      <c r="AC670" s="9" t="str">
        <f t="shared" ca="1" si="101"/>
        <v/>
      </c>
      <c r="AD670" s="9" t="str">
        <f t="shared" ca="1" si="102"/>
        <v/>
      </c>
      <c r="AE670" s="9" t="str">
        <f t="shared" ca="1" si="103"/>
        <v/>
      </c>
      <c r="AF670" s="9" t="str">
        <f ca="1">IF(AND(Y670,AA670="ERREUR"),COUNTIF($AA$2:$AA670,"ERREUR"),"")</f>
        <v/>
      </c>
    </row>
    <row r="671" spans="23:32" ht="25" customHeight="1">
      <c r="W671" s="19">
        <f t="shared" ca="1" si="96"/>
        <v>45799</v>
      </c>
      <c r="X671" s="9" t="str">
        <f t="shared" ca="1" si="97"/>
        <v>22052025</v>
      </c>
      <c r="Y671" s="9" t="b">
        <f t="shared" ca="1" si="98"/>
        <v>0</v>
      </c>
      <c r="Z671" s="9" t="str">
        <f ca="1">IF(Y671,COUNTIF($Y$2:$Y671,TRUE),"")</f>
        <v/>
      </c>
      <c r="AA671" s="9" t="str">
        <f t="shared" ca="1" si="99"/>
        <v/>
      </c>
      <c r="AB671" s="9" t="str">
        <f t="shared" ca="1" si="100"/>
        <v/>
      </c>
      <c r="AC671" s="9" t="str">
        <f t="shared" ca="1" si="101"/>
        <v/>
      </c>
      <c r="AD671" s="9" t="str">
        <f t="shared" ca="1" si="102"/>
        <v/>
      </c>
      <c r="AE671" s="9" t="str">
        <f t="shared" ca="1" si="103"/>
        <v/>
      </c>
      <c r="AF671" s="9" t="str">
        <f ca="1">IF(AND(Y671,AA671="ERREUR"),COUNTIF($AA$2:$AA671,"ERREUR"),"")</f>
        <v/>
      </c>
    </row>
    <row r="672" spans="23:32" ht="25" customHeight="1">
      <c r="W672" s="19">
        <f t="shared" ca="1" si="96"/>
        <v>45798</v>
      </c>
      <c r="X672" s="9" t="str">
        <f t="shared" ca="1" si="97"/>
        <v>21052025</v>
      </c>
      <c r="Y672" s="9" t="b">
        <f t="shared" ca="1" si="98"/>
        <v>0</v>
      </c>
      <c r="Z672" s="9" t="str">
        <f ca="1">IF(Y672,COUNTIF($Y$2:$Y672,TRUE),"")</f>
        <v/>
      </c>
      <c r="AA672" s="9" t="str">
        <f t="shared" ca="1" si="99"/>
        <v/>
      </c>
      <c r="AB672" s="9" t="str">
        <f t="shared" ca="1" si="100"/>
        <v/>
      </c>
      <c r="AC672" s="9" t="str">
        <f t="shared" ca="1" si="101"/>
        <v/>
      </c>
      <c r="AD672" s="9" t="str">
        <f t="shared" ca="1" si="102"/>
        <v/>
      </c>
      <c r="AE672" s="9" t="str">
        <f t="shared" ca="1" si="103"/>
        <v/>
      </c>
      <c r="AF672" s="9" t="str">
        <f ca="1">IF(AND(Y672,AA672="ERREUR"),COUNTIF($AA$2:$AA672,"ERREUR"),"")</f>
        <v/>
      </c>
    </row>
    <row r="673" spans="23:32" ht="25" customHeight="1">
      <c r="W673" s="19">
        <f t="shared" ca="1" si="96"/>
        <v>45797</v>
      </c>
      <c r="X673" s="9" t="str">
        <f t="shared" ca="1" si="97"/>
        <v>20052025</v>
      </c>
      <c r="Y673" s="9" t="b">
        <f t="shared" ca="1" si="98"/>
        <v>0</v>
      </c>
      <c r="Z673" s="9" t="str">
        <f ca="1">IF(Y673,COUNTIF($Y$2:$Y673,TRUE),"")</f>
        <v/>
      </c>
      <c r="AA673" s="9" t="str">
        <f t="shared" ca="1" si="99"/>
        <v/>
      </c>
      <c r="AB673" s="9" t="str">
        <f t="shared" ca="1" si="100"/>
        <v/>
      </c>
      <c r="AC673" s="9" t="str">
        <f t="shared" ca="1" si="101"/>
        <v/>
      </c>
      <c r="AD673" s="9" t="str">
        <f t="shared" ca="1" si="102"/>
        <v/>
      </c>
      <c r="AE673" s="9" t="str">
        <f t="shared" ca="1" si="103"/>
        <v/>
      </c>
      <c r="AF673" s="9" t="str">
        <f ca="1">IF(AND(Y673,AA673="ERREUR"),COUNTIF($AA$2:$AA673,"ERREUR"),"")</f>
        <v/>
      </c>
    </row>
    <row r="674" spans="23:32" ht="25" customHeight="1">
      <c r="W674" s="19">
        <f t="shared" ca="1" si="96"/>
        <v>45796</v>
      </c>
      <c r="X674" s="9" t="str">
        <f t="shared" ca="1" si="97"/>
        <v>19052025</v>
      </c>
      <c r="Y674" s="9" t="b">
        <f t="shared" ca="1" si="98"/>
        <v>0</v>
      </c>
      <c r="Z674" s="9" t="str">
        <f ca="1">IF(Y674,COUNTIF($Y$2:$Y674,TRUE),"")</f>
        <v/>
      </c>
      <c r="AA674" s="9" t="str">
        <f t="shared" ca="1" si="99"/>
        <v/>
      </c>
      <c r="AB674" s="9" t="str">
        <f t="shared" ca="1" si="100"/>
        <v/>
      </c>
      <c r="AC674" s="9" t="str">
        <f t="shared" ca="1" si="101"/>
        <v/>
      </c>
      <c r="AD674" s="9" t="str">
        <f t="shared" ca="1" si="102"/>
        <v/>
      </c>
      <c r="AE674" s="9" t="str">
        <f t="shared" ca="1" si="103"/>
        <v/>
      </c>
      <c r="AF674" s="9" t="str">
        <f ca="1">IF(AND(Y674,AA674="ERREUR"),COUNTIF($AA$2:$AA674,"ERREUR"),"")</f>
        <v/>
      </c>
    </row>
    <row r="675" spans="23:32" ht="25" customHeight="1">
      <c r="W675" s="19">
        <f t="shared" ca="1" si="96"/>
        <v>45795</v>
      </c>
      <c r="X675" s="9" t="str">
        <f t="shared" ca="1" si="97"/>
        <v>18052025</v>
      </c>
      <c r="Y675" s="9" t="b">
        <f t="shared" ca="1" si="98"/>
        <v>0</v>
      </c>
      <c r="Z675" s="9" t="str">
        <f ca="1">IF(Y675,COUNTIF($Y$2:$Y675,TRUE),"")</f>
        <v/>
      </c>
      <c r="AA675" s="9" t="str">
        <f t="shared" ca="1" si="99"/>
        <v/>
      </c>
      <c r="AB675" s="9" t="str">
        <f t="shared" ca="1" si="100"/>
        <v/>
      </c>
      <c r="AC675" s="9" t="str">
        <f t="shared" ca="1" si="101"/>
        <v/>
      </c>
      <c r="AD675" s="9" t="str">
        <f t="shared" ca="1" si="102"/>
        <v/>
      </c>
      <c r="AE675" s="9" t="str">
        <f t="shared" ca="1" si="103"/>
        <v/>
      </c>
      <c r="AF675" s="9" t="str">
        <f ca="1">IF(AND(Y675,AA675="ERREUR"),COUNTIF($AA$2:$AA675,"ERREUR"),"")</f>
        <v/>
      </c>
    </row>
    <row r="676" spans="23:32" ht="25" customHeight="1">
      <c r="W676" s="19">
        <f t="shared" ca="1" si="96"/>
        <v>45794</v>
      </c>
      <c r="X676" s="9" t="str">
        <f t="shared" ca="1" si="97"/>
        <v>17052025</v>
      </c>
      <c r="Y676" s="9" t="b">
        <f t="shared" ca="1" si="98"/>
        <v>0</v>
      </c>
      <c r="Z676" s="9" t="str">
        <f ca="1">IF(Y676,COUNTIF($Y$2:$Y676,TRUE),"")</f>
        <v/>
      </c>
      <c r="AA676" s="9" t="str">
        <f t="shared" ca="1" si="99"/>
        <v/>
      </c>
      <c r="AB676" s="9" t="str">
        <f t="shared" ca="1" si="100"/>
        <v/>
      </c>
      <c r="AC676" s="9" t="str">
        <f t="shared" ca="1" si="101"/>
        <v/>
      </c>
      <c r="AD676" s="9" t="str">
        <f t="shared" ca="1" si="102"/>
        <v/>
      </c>
      <c r="AE676" s="9" t="str">
        <f t="shared" ca="1" si="103"/>
        <v/>
      </c>
      <c r="AF676" s="9" t="str">
        <f ca="1">IF(AND(Y676,AA676="ERREUR"),COUNTIF($AA$2:$AA676,"ERREUR"),"")</f>
        <v/>
      </c>
    </row>
    <row r="677" spans="23:32" ht="25" customHeight="1">
      <c r="W677" s="19">
        <f t="shared" ca="1" si="96"/>
        <v>45793</v>
      </c>
      <c r="X677" s="9" t="str">
        <f t="shared" ca="1" si="97"/>
        <v>16052025</v>
      </c>
      <c r="Y677" s="9" t="b">
        <f t="shared" ca="1" si="98"/>
        <v>0</v>
      </c>
      <c r="Z677" s="9" t="str">
        <f ca="1">IF(Y677,COUNTIF($Y$2:$Y677,TRUE),"")</f>
        <v/>
      </c>
      <c r="AA677" s="9" t="str">
        <f t="shared" ca="1" si="99"/>
        <v/>
      </c>
      <c r="AB677" s="9" t="str">
        <f t="shared" ca="1" si="100"/>
        <v/>
      </c>
      <c r="AC677" s="9" t="str">
        <f t="shared" ca="1" si="101"/>
        <v/>
      </c>
      <c r="AD677" s="9" t="str">
        <f t="shared" ca="1" si="102"/>
        <v/>
      </c>
      <c r="AE677" s="9" t="str">
        <f t="shared" ca="1" si="103"/>
        <v/>
      </c>
      <c r="AF677" s="9" t="str">
        <f ca="1">IF(AND(Y677,AA677="ERREUR"),COUNTIF($AA$2:$AA677,"ERREUR"),"")</f>
        <v/>
      </c>
    </row>
    <row r="678" spans="23:32" ht="25" customHeight="1">
      <c r="W678" s="19">
        <f t="shared" ca="1" si="96"/>
        <v>45792</v>
      </c>
      <c r="X678" s="9" t="str">
        <f t="shared" ca="1" si="97"/>
        <v>15052025</v>
      </c>
      <c r="Y678" s="9" t="b">
        <f t="shared" ca="1" si="98"/>
        <v>0</v>
      </c>
      <c r="Z678" s="9" t="str">
        <f ca="1">IF(Y678,COUNTIF($Y$2:$Y678,TRUE),"")</f>
        <v/>
      </c>
      <c r="AA678" s="9" t="str">
        <f t="shared" ca="1" si="99"/>
        <v/>
      </c>
      <c r="AB678" s="9" t="str">
        <f t="shared" ca="1" si="100"/>
        <v/>
      </c>
      <c r="AC678" s="9" t="str">
        <f t="shared" ca="1" si="101"/>
        <v/>
      </c>
      <c r="AD678" s="9" t="str">
        <f t="shared" ca="1" si="102"/>
        <v/>
      </c>
      <c r="AE678" s="9" t="str">
        <f t="shared" ca="1" si="103"/>
        <v/>
      </c>
      <c r="AF678" s="9" t="str">
        <f ca="1">IF(AND(Y678,AA678="ERREUR"),COUNTIF($AA$2:$AA678,"ERREUR"),"")</f>
        <v/>
      </c>
    </row>
    <row r="679" spans="23:32" ht="25" customHeight="1">
      <c r="W679" s="19">
        <f t="shared" ca="1" si="96"/>
        <v>45791</v>
      </c>
      <c r="X679" s="9" t="str">
        <f t="shared" ca="1" si="97"/>
        <v>14052025</v>
      </c>
      <c r="Y679" s="9" t="b">
        <f t="shared" ca="1" si="98"/>
        <v>0</v>
      </c>
      <c r="Z679" s="9" t="str">
        <f ca="1">IF(Y679,COUNTIF($Y$2:$Y679,TRUE),"")</f>
        <v/>
      </c>
      <c r="AA679" s="9" t="str">
        <f t="shared" ca="1" si="99"/>
        <v/>
      </c>
      <c r="AB679" s="9" t="str">
        <f t="shared" ca="1" si="100"/>
        <v/>
      </c>
      <c r="AC679" s="9" t="str">
        <f t="shared" ca="1" si="101"/>
        <v/>
      </c>
      <c r="AD679" s="9" t="str">
        <f t="shared" ca="1" si="102"/>
        <v/>
      </c>
      <c r="AE679" s="9" t="str">
        <f t="shared" ca="1" si="103"/>
        <v/>
      </c>
      <c r="AF679" s="9" t="str">
        <f ca="1">IF(AND(Y679,AA679="ERREUR"),COUNTIF($AA$2:$AA679,"ERREUR"),"")</f>
        <v/>
      </c>
    </row>
    <row r="680" spans="23:32" ht="25" customHeight="1">
      <c r="W680" s="19">
        <f t="shared" ca="1" si="96"/>
        <v>45790</v>
      </c>
      <c r="X680" s="9" t="str">
        <f t="shared" ca="1" si="97"/>
        <v>13052025</v>
      </c>
      <c r="Y680" s="9" t="b">
        <f t="shared" ca="1" si="98"/>
        <v>0</v>
      </c>
      <c r="Z680" s="9" t="str">
        <f ca="1">IF(Y680,COUNTIF($Y$2:$Y680,TRUE),"")</f>
        <v/>
      </c>
      <c r="AA680" s="9" t="str">
        <f t="shared" ca="1" si="99"/>
        <v/>
      </c>
      <c r="AB680" s="9" t="str">
        <f t="shared" ca="1" si="100"/>
        <v/>
      </c>
      <c r="AC680" s="9" t="str">
        <f t="shared" ca="1" si="101"/>
        <v/>
      </c>
      <c r="AD680" s="9" t="str">
        <f t="shared" ca="1" si="102"/>
        <v/>
      </c>
      <c r="AE680" s="9" t="str">
        <f t="shared" ca="1" si="103"/>
        <v/>
      </c>
      <c r="AF680" s="9" t="str">
        <f ca="1">IF(AND(Y680,AA680="ERREUR"),COUNTIF($AA$2:$AA680,"ERREUR"),"")</f>
        <v/>
      </c>
    </row>
    <row r="681" spans="23:32" ht="25" customHeight="1">
      <c r="W681" s="19">
        <f t="shared" ca="1" si="96"/>
        <v>45789</v>
      </c>
      <c r="X681" s="9" t="str">
        <f t="shared" ca="1" si="97"/>
        <v>12052025</v>
      </c>
      <c r="Y681" s="9" t="b">
        <f t="shared" ca="1" si="98"/>
        <v>0</v>
      </c>
      <c r="Z681" s="9" t="str">
        <f ca="1">IF(Y681,COUNTIF($Y$2:$Y681,TRUE),"")</f>
        <v/>
      </c>
      <c r="AA681" s="9" t="str">
        <f t="shared" ca="1" si="99"/>
        <v/>
      </c>
      <c r="AB681" s="9" t="str">
        <f t="shared" ca="1" si="100"/>
        <v/>
      </c>
      <c r="AC681" s="9" t="str">
        <f t="shared" ca="1" si="101"/>
        <v/>
      </c>
      <c r="AD681" s="9" t="str">
        <f t="shared" ca="1" si="102"/>
        <v/>
      </c>
      <c r="AE681" s="9" t="str">
        <f t="shared" ca="1" si="103"/>
        <v/>
      </c>
      <c r="AF681" s="9" t="str">
        <f ca="1">IF(AND(Y681,AA681="ERREUR"),COUNTIF($AA$2:$AA681,"ERREUR"),"")</f>
        <v/>
      </c>
    </row>
    <row r="682" spans="23:32" ht="25" customHeight="1">
      <c r="W682" s="19">
        <f t="shared" ca="1" si="96"/>
        <v>45788</v>
      </c>
      <c r="X682" s="9" t="str">
        <f t="shared" ca="1" si="97"/>
        <v>11052025</v>
      </c>
      <c r="Y682" s="9" t="b">
        <f t="shared" ca="1" si="98"/>
        <v>0</v>
      </c>
      <c r="Z682" s="9" t="str">
        <f ca="1">IF(Y682,COUNTIF($Y$2:$Y682,TRUE),"")</f>
        <v/>
      </c>
      <c r="AA682" s="9" t="str">
        <f t="shared" ca="1" si="99"/>
        <v/>
      </c>
      <c r="AB682" s="9" t="str">
        <f t="shared" ca="1" si="100"/>
        <v/>
      </c>
      <c r="AC682" s="9" t="str">
        <f t="shared" ca="1" si="101"/>
        <v/>
      </c>
      <c r="AD682" s="9" t="str">
        <f t="shared" ca="1" si="102"/>
        <v/>
      </c>
      <c r="AE682" s="9" t="str">
        <f t="shared" ca="1" si="103"/>
        <v/>
      </c>
      <c r="AF682" s="9" t="str">
        <f ca="1">IF(AND(Y682,AA682="ERREUR"),COUNTIF($AA$2:$AA682,"ERREUR"),"")</f>
        <v/>
      </c>
    </row>
    <row r="683" spans="23:32" ht="25" customHeight="1">
      <c r="W683" s="19">
        <f t="shared" ca="1" si="96"/>
        <v>45787</v>
      </c>
      <c r="X683" s="9" t="str">
        <f t="shared" ca="1" si="97"/>
        <v>10052025</v>
      </c>
      <c r="Y683" s="9" t="b">
        <f t="shared" ca="1" si="98"/>
        <v>0</v>
      </c>
      <c r="Z683" s="9" t="str">
        <f ca="1">IF(Y683,COUNTIF($Y$2:$Y683,TRUE),"")</f>
        <v/>
      </c>
      <c r="AA683" s="9" t="str">
        <f t="shared" ca="1" si="99"/>
        <v/>
      </c>
      <c r="AB683" s="9" t="str">
        <f t="shared" ca="1" si="100"/>
        <v/>
      </c>
      <c r="AC683" s="9" t="str">
        <f t="shared" ca="1" si="101"/>
        <v/>
      </c>
      <c r="AD683" s="9" t="str">
        <f t="shared" ca="1" si="102"/>
        <v/>
      </c>
      <c r="AE683" s="9" t="str">
        <f t="shared" ca="1" si="103"/>
        <v/>
      </c>
      <c r="AF683" s="9" t="str">
        <f ca="1">IF(AND(Y683,AA683="ERREUR"),COUNTIF($AA$2:$AA683,"ERREUR"),"")</f>
        <v/>
      </c>
    </row>
    <row r="684" spans="23:32" ht="25" customHeight="1">
      <c r="W684" s="19">
        <f t="shared" ca="1" si="96"/>
        <v>45786</v>
      </c>
      <c r="X684" s="9" t="str">
        <f t="shared" ca="1" si="97"/>
        <v>09052025</v>
      </c>
      <c r="Y684" s="9" t="b">
        <f t="shared" ca="1" si="98"/>
        <v>0</v>
      </c>
      <c r="Z684" s="9" t="str">
        <f ca="1">IF(Y684,COUNTIF($Y$2:$Y684,TRUE),"")</f>
        <v/>
      </c>
      <c r="AA684" s="9" t="str">
        <f t="shared" ca="1" si="99"/>
        <v/>
      </c>
      <c r="AB684" s="9" t="str">
        <f t="shared" ca="1" si="100"/>
        <v/>
      </c>
      <c r="AC684" s="9" t="str">
        <f t="shared" ca="1" si="101"/>
        <v/>
      </c>
      <c r="AD684" s="9" t="str">
        <f t="shared" ca="1" si="102"/>
        <v/>
      </c>
      <c r="AE684" s="9" t="str">
        <f t="shared" ca="1" si="103"/>
        <v/>
      </c>
      <c r="AF684" s="9" t="str">
        <f ca="1">IF(AND(Y684,AA684="ERREUR"),COUNTIF($AA$2:$AA684,"ERREUR"),"")</f>
        <v/>
      </c>
    </row>
    <row r="685" spans="23:32" ht="25" customHeight="1">
      <c r="W685" s="19">
        <f t="shared" ca="1" si="96"/>
        <v>45785</v>
      </c>
      <c r="X685" s="9" t="str">
        <f t="shared" ca="1" si="97"/>
        <v>08052025</v>
      </c>
      <c r="Y685" s="9" t="b">
        <f t="shared" ca="1" si="98"/>
        <v>0</v>
      </c>
      <c r="Z685" s="9" t="str">
        <f ca="1">IF(Y685,COUNTIF($Y$2:$Y685,TRUE),"")</f>
        <v/>
      </c>
      <c r="AA685" s="9" t="str">
        <f t="shared" ca="1" si="99"/>
        <v/>
      </c>
      <c r="AB685" s="9" t="str">
        <f t="shared" ca="1" si="100"/>
        <v/>
      </c>
      <c r="AC685" s="9" t="str">
        <f t="shared" ca="1" si="101"/>
        <v/>
      </c>
      <c r="AD685" s="9" t="str">
        <f t="shared" ca="1" si="102"/>
        <v/>
      </c>
      <c r="AE685" s="9" t="str">
        <f t="shared" ca="1" si="103"/>
        <v/>
      </c>
      <c r="AF685" s="9" t="str">
        <f ca="1">IF(AND(Y685,AA685="ERREUR"),COUNTIF($AA$2:$AA685,"ERREUR"),"")</f>
        <v/>
      </c>
    </row>
    <row r="686" spans="23:32" ht="25" customHeight="1">
      <c r="W686" s="19">
        <f t="shared" ca="1" si="96"/>
        <v>45784</v>
      </c>
      <c r="X686" s="9" t="str">
        <f t="shared" ca="1" si="97"/>
        <v>07052025</v>
      </c>
      <c r="Y686" s="9" t="b">
        <f t="shared" ca="1" si="98"/>
        <v>0</v>
      </c>
      <c r="Z686" s="9" t="str">
        <f ca="1">IF(Y686,COUNTIF($Y$2:$Y686,TRUE),"")</f>
        <v/>
      </c>
      <c r="AA686" s="9" t="str">
        <f t="shared" ca="1" si="99"/>
        <v/>
      </c>
      <c r="AB686" s="9" t="str">
        <f t="shared" ca="1" si="100"/>
        <v/>
      </c>
      <c r="AC686" s="9" t="str">
        <f t="shared" ca="1" si="101"/>
        <v/>
      </c>
      <c r="AD686" s="9" t="str">
        <f t="shared" ca="1" si="102"/>
        <v/>
      </c>
      <c r="AE686" s="9" t="str">
        <f t="shared" ca="1" si="103"/>
        <v/>
      </c>
      <c r="AF686" s="9" t="str">
        <f ca="1">IF(AND(Y686,AA686="ERREUR"),COUNTIF($AA$2:$AA686,"ERREUR"),"")</f>
        <v/>
      </c>
    </row>
    <row r="687" spans="23:32" ht="25" customHeight="1">
      <c r="W687" s="19">
        <f t="shared" ca="1" si="96"/>
        <v>45783</v>
      </c>
      <c r="X687" s="9" t="str">
        <f t="shared" ca="1" si="97"/>
        <v>06052025</v>
      </c>
      <c r="Y687" s="9" t="b">
        <f t="shared" ca="1" si="98"/>
        <v>0</v>
      </c>
      <c r="Z687" s="9" t="str">
        <f ca="1">IF(Y687,COUNTIF($Y$2:$Y687,TRUE),"")</f>
        <v/>
      </c>
      <c r="AA687" s="9" t="str">
        <f t="shared" ca="1" si="99"/>
        <v/>
      </c>
      <c r="AB687" s="9" t="str">
        <f t="shared" ca="1" si="100"/>
        <v/>
      </c>
      <c r="AC687" s="9" t="str">
        <f t="shared" ca="1" si="101"/>
        <v/>
      </c>
      <c r="AD687" s="9" t="str">
        <f t="shared" ca="1" si="102"/>
        <v/>
      </c>
      <c r="AE687" s="9" t="str">
        <f t="shared" ca="1" si="103"/>
        <v/>
      </c>
      <c r="AF687" s="9" t="str">
        <f ca="1">IF(AND(Y687,AA687="ERREUR"),COUNTIF($AA$2:$AA687,"ERREUR"),"")</f>
        <v/>
      </c>
    </row>
    <row r="688" spans="23:32" ht="25" customHeight="1">
      <c r="W688" s="19">
        <f t="shared" ca="1" si="96"/>
        <v>45782</v>
      </c>
      <c r="X688" s="9" t="str">
        <f t="shared" ca="1" si="97"/>
        <v>05052025</v>
      </c>
      <c r="Y688" s="9" t="b">
        <f t="shared" ca="1" si="98"/>
        <v>0</v>
      </c>
      <c r="Z688" s="9" t="str">
        <f ca="1">IF(Y688,COUNTIF($Y$2:$Y688,TRUE),"")</f>
        <v/>
      </c>
      <c r="AA688" s="9" t="str">
        <f t="shared" ca="1" si="99"/>
        <v/>
      </c>
      <c r="AB688" s="9" t="str">
        <f t="shared" ca="1" si="100"/>
        <v/>
      </c>
      <c r="AC688" s="9" t="str">
        <f t="shared" ca="1" si="101"/>
        <v/>
      </c>
      <c r="AD688" s="9" t="str">
        <f t="shared" ca="1" si="102"/>
        <v/>
      </c>
      <c r="AE688" s="9" t="str">
        <f t="shared" ca="1" si="103"/>
        <v/>
      </c>
      <c r="AF688" s="9" t="str">
        <f ca="1">IF(AND(Y688,AA688="ERREUR"),COUNTIF($AA$2:$AA688,"ERREUR"),"")</f>
        <v/>
      </c>
    </row>
    <row r="689" spans="23:32" ht="25" customHeight="1">
      <c r="W689" s="19">
        <f t="shared" ca="1" si="96"/>
        <v>45781</v>
      </c>
      <c r="X689" s="9" t="str">
        <f t="shared" ca="1" si="97"/>
        <v>04052025</v>
      </c>
      <c r="Y689" s="9" t="b">
        <f t="shared" ca="1" si="98"/>
        <v>0</v>
      </c>
      <c r="Z689" s="9" t="str">
        <f ca="1">IF(Y689,COUNTIF($Y$2:$Y689,TRUE),"")</f>
        <v/>
      </c>
      <c r="AA689" s="9" t="str">
        <f t="shared" ca="1" si="99"/>
        <v/>
      </c>
      <c r="AB689" s="9" t="str">
        <f t="shared" ca="1" si="100"/>
        <v/>
      </c>
      <c r="AC689" s="9" t="str">
        <f t="shared" ca="1" si="101"/>
        <v/>
      </c>
      <c r="AD689" s="9" t="str">
        <f t="shared" ca="1" si="102"/>
        <v/>
      </c>
      <c r="AE689" s="9" t="str">
        <f t="shared" ca="1" si="103"/>
        <v/>
      </c>
      <c r="AF689" s="9" t="str">
        <f ca="1">IF(AND(Y689,AA689="ERREUR"),COUNTIF($AA$2:$AA689,"ERREUR"),"")</f>
        <v/>
      </c>
    </row>
    <row r="690" spans="23:32" ht="25" customHeight="1">
      <c r="W690" s="19">
        <f t="shared" ca="1" si="96"/>
        <v>45780</v>
      </c>
      <c r="X690" s="9" t="str">
        <f t="shared" ca="1" si="97"/>
        <v>03052025</v>
      </c>
      <c r="Y690" s="9" t="b">
        <f t="shared" ca="1" si="98"/>
        <v>0</v>
      </c>
      <c r="Z690" s="9" t="str">
        <f ca="1">IF(Y690,COUNTIF($Y$2:$Y690,TRUE),"")</f>
        <v/>
      </c>
      <c r="AA690" s="9" t="str">
        <f t="shared" ca="1" si="99"/>
        <v/>
      </c>
      <c r="AB690" s="9" t="str">
        <f t="shared" ca="1" si="100"/>
        <v/>
      </c>
      <c r="AC690" s="9" t="str">
        <f t="shared" ca="1" si="101"/>
        <v/>
      </c>
      <c r="AD690" s="9" t="str">
        <f t="shared" ca="1" si="102"/>
        <v/>
      </c>
      <c r="AE690" s="9" t="str">
        <f t="shared" ca="1" si="103"/>
        <v/>
      </c>
      <c r="AF690" s="9" t="str">
        <f ca="1">IF(AND(Y690,AA690="ERREUR"),COUNTIF($AA$2:$AA690,"ERREUR"),"")</f>
        <v/>
      </c>
    </row>
    <row r="691" spans="23:32" ht="25" customHeight="1">
      <c r="W691" s="19">
        <f t="shared" ca="1" si="96"/>
        <v>45779</v>
      </c>
      <c r="X691" s="9" t="str">
        <f t="shared" ca="1" si="97"/>
        <v>02052025</v>
      </c>
      <c r="Y691" s="9" t="b">
        <f t="shared" ca="1" si="98"/>
        <v>0</v>
      </c>
      <c r="Z691" s="9" t="str">
        <f ca="1">IF(Y691,COUNTIF($Y$2:$Y691,TRUE),"")</f>
        <v/>
      </c>
      <c r="AA691" s="9" t="str">
        <f t="shared" ca="1" si="99"/>
        <v/>
      </c>
      <c r="AB691" s="9" t="str">
        <f t="shared" ca="1" si="100"/>
        <v/>
      </c>
      <c r="AC691" s="9" t="str">
        <f t="shared" ca="1" si="101"/>
        <v/>
      </c>
      <c r="AD691" s="9" t="str">
        <f t="shared" ca="1" si="102"/>
        <v/>
      </c>
      <c r="AE691" s="9" t="str">
        <f t="shared" ca="1" si="103"/>
        <v/>
      </c>
      <c r="AF691" s="9" t="str">
        <f ca="1">IF(AND(Y691,AA691="ERREUR"),COUNTIF($AA$2:$AA691,"ERREUR"),"")</f>
        <v/>
      </c>
    </row>
    <row r="692" spans="23:32" ht="25" customHeight="1">
      <c r="W692" s="19">
        <f t="shared" ca="1" si="96"/>
        <v>45778</v>
      </c>
      <c r="X692" s="9" t="str">
        <f t="shared" ca="1" si="97"/>
        <v>01052025</v>
      </c>
      <c r="Y692" s="9" t="b">
        <f t="shared" ca="1" si="98"/>
        <v>0</v>
      </c>
      <c r="Z692" s="9" t="str">
        <f ca="1">IF(Y692,COUNTIF($Y$2:$Y692,TRUE),"")</f>
        <v/>
      </c>
      <c r="AA692" s="9" t="str">
        <f t="shared" ca="1" si="99"/>
        <v/>
      </c>
      <c r="AB692" s="9" t="str">
        <f t="shared" ca="1" si="100"/>
        <v/>
      </c>
      <c r="AC692" s="9" t="str">
        <f t="shared" ca="1" si="101"/>
        <v/>
      </c>
      <c r="AD692" s="9" t="str">
        <f t="shared" ca="1" si="102"/>
        <v/>
      </c>
      <c r="AE692" s="9" t="str">
        <f t="shared" ca="1" si="103"/>
        <v/>
      </c>
      <c r="AF692" s="9" t="str">
        <f ca="1">IF(AND(Y692,AA692="ERREUR"),COUNTIF($AA$2:$AA692,"ERREUR"),"")</f>
        <v/>
      </c>
    </row>
    <row r="693" spans="23:32" ht="25" customHeight="1">
      <c r="W693" s="19">
        <f t="shared" ca="1" si="96"/>
        <v>45777</v>
      </c>
      <c r="X693" s="9" t="str">
        <f t="shared" ca="1" si="97"/>
        <v>30042025</v>
      </c>
      <c r="Y693" s="9" t="b">
        <f t="shared" ca="1" si="98"/>
        <v>0</v>
      </c>
      <c r="Z693" s="9" t="str">
        <f ca="1">IF(Y693,COUNTIF($Y$2:$Y693,TRUE),"")</f>
        <v/>
      </c>
      <c r="AA693" s="9" t="str">
        <f t="shared" ca="1" si="99"/>
        <v/>
      </c>
      <c r="AB693" s="9" t="str">
        <f t="shared" ca="1" si="100"/>
        <v/>
      </c>
      <c r="AC693" s="9" t="str">
        <f t="shared" ca="1" si="101"/>
        <v/>
      </c>
      <c r="AD693" s="9" t="str">
        <f t="shared" ca="1" si="102"/>
        <v/>
      </c>
      <c r="AE693" s="9" t="str">
        <f t="shared" ca="1" si="103"/>
        <v/>
      </c>
      <c r="AF693" s="9" t="str">
        <f ca="1">IF(AND(Y693,AA693="ERREUR"),COUNTIF($AA$2:$AA693,"ERREUR"),"")</f>
        <v/>
      </c>
    </row>
    <row r="694" spans="23:32" ht="25" customHeight="1">
      <c r="W694" s="19">
        <f t="shared" ca="1" si="96"/>
        <v>45776</v>
      </c>
      <c r="X694" s="9" t="str">
        <f t="shared" ca="1" si="97"/>
        <v>29042025</v>
      </c>
      <c r="Y694" s="9" t="b">
        <f t="shared" ca="1" si="98"/>
        <v>0</v>
      </c>
      <c r="Z694" s="9" t="str">
        <f ca="1">IF(Y694,COUNTIF($Y$2:$Y694,TRUE),"")</f>
        <v/>
      </c>
      <c r="AA694" s="9" t="str">
        <f t="shared" ca="1" si="99"/>
        <v/>
      </c>
      <c r="AB694" s="9" t="str">
        <f t="shared" ca="1" si="100"/>
        <v/>
      </c>
      <c r="AC694" s="9" t="str">
        <f t="shared" ca="1" si="101"/>
        <v/>
      </c>
      <c r="AD694" s="9" t="str">
        <f t="shared" ca="1" si="102"/>
        <v/>
      </c>
      <c r="AE694" s="9" t="str">
        <f t="shared" ca="1" si="103"/>
        <v/>
      </c>
      <c r="AF694" s="9" t="str">
        <f ca="1">IF(AND(Y694,AA694="ERREUR"),COUNTIF($AA$2:$AA694,"ERREUR"),"")</f>
        <v/>
      </c>
    </row>
    <row r="695" spans="23:32" ht="25" customHeight="1">
      <c r="W695" s="19">
        <f t="shared" ca="1" si="96"/>
        <v>45775</v>
      </c>
      <c r="X695" s="9" t="str">
        <f t="shared" ca="1" si="97"/>
        <v>28042025</v>
      </c>
      <c r="Y695" s="9" t="b">
        <f t="shared" ca="1" si="98"/>
        <v>0</v>
      </c>
      <c r="Z695" s="9" t="str">
        <f ca="1">IF(Y695,COUNTIF($Y$2:$Y695,TRUE),"")</f>
        <v/>
      </c>
      <c r="AA695" s="9" t="str">
        <f t="shared" ca="1" si="99"/>
        <v/>
      </c>
      <c r="AB695" s="9" t="str">
        <f t="shared" ca="1" si="100"/>
        <v/>
      </c>
      <c r="AC695" s="9" t="str">
        <f t="shared" ca="1" si="101"/>
        <v/>
      </c>
      <c r="AD695" s="9" t="str">
        <f t="shared" ca="1" si="102"/>
        <v/>
      </c>
      <c r="AE695" s="9" t="str">
        <f t="shared" ca="1" si="103"/>
        <v/>
      </c>
      <c r="AF695" s="9" t="str">
        <f ca="1">IF(AND(Y695,AA695="ERREUR"),COUNTIF($AA$2:$AA695,"ERREUR"),"")</f>
        <v/>
      </c>
    </row>
    <row r="696" spans="23:32" ht="25" customHeight="1">
      <c r="W696" s="19">
        <f t="shared" ca="1" si="96"/>
        <v>45774</v>
      </c>
      <c r="X696" s="9" t="str">
        <f t="shared" ca="1" si="97"/>
        <v>27042025</v>
      </c>
      <c r="Y696" s="9" t="b">
        <f t="shared" ca="1" si="98"/>
        <v>0</v>
      </c>
      <c r="Z696" s="9" t="str">
        <f ca="1">IF(Y696,COUNTIF($Y$2:$Y696,TRUE),"")</f>
        <v/>
      </c>
      <c r="AA696" s="9" t="str">
        <f t="shared" ca="1" si="99"/>
        <v/>
      </c>
      <c r="AB696" s="9" t="str">
        <f t="shared" ca="1" si="100"/>
        <v/>
      </c>
      <c r="AC696" s="9" t="str">
        <f t="shared" ca="1" si="101"/>
        <v/>
      </c>
      <c r="AD696" s="9" t="str">
        <f t="shared" ca="1" si="102"/>
        <v/>
      </c>
      <c r="AE696" s="9" t="str">
        <f t="shared" ca="1" si="103"/>
        <v/>
      </c>
      <c r="AF696" s="9" t="str">
        <f ca="1">IF(AND(Y696,AA696="ERREUR"),COUNTIF($AA$2:$AA696,"ERREUR"),"")</f>
        <v/>
      </c>
    </row>
    <row r="697" spans="23:32" ht="25" customHeight="1">
      <c r="W697" s="19">
        <f t="shared" ca="1" si="96"/>
        <v>45773</v>
      </c>
      <c r="X697" s="9" t="str">
        <f t="shared" ca="1" si="97"/>
        <v>26042025</v>
      </c>
      <c r="Y697" s="9" t="b">
        <f t="shared" ca="1" si="98"/>
        <v>0</v>
      </c>
      <c r="Z697" s="9" t="str">
        <f ca="1">IF(Y697,COUNTIF($Y$2:$Y697,TRUE),"")</f>
        <v/>
      </c>
      <c r="AA697" s="9" t="str">
        <f t="shared" ca="1" si="99"/>
        <v/>
      </c>
      <c r="AB697" s="9" t="str">
        <f t="shared" ca="1" si="100"/>
        <v/>
      </c>
      <c r="AC697" s="9" t="str">
        <f t="shared" ca="1" si="101"/>
        <v/>
      </c>
      <c r="AD697" s="9" t="str">
        <f t="shared" ca="1" si="102"/>
        <v/>
      </c>
      <c r="AE697" s="9" t="str">
        <f t="shared" ca="1" si="103"/>
        <v/>
      </c>
      <c r="AF697" s="9" t="str">
        <f ca="1">IF(AND(Y697,AA697="ERREUR"),COUNTIF($AA$2:$AA697,"ERREUR"),"")</f>
        <v/>
      </c>
    </row>
    <row r="698" spans="23:32" ht="25" customHeight="1">
      <c r="W698" s="19">
        <f t="shared" ca="1" si="96"/>
        <v>45772</v>
      </c>
      <c r="X698" s="9" t="str">
        <f t="shared" ca="1" si="97"/>
        <v>25042025</v>
      </c>
      <c r="Y698" s="9" t="b">
        <f t="shared" ca="1" si="98"/>
        <v>0</v>
      </c>
      <c r="Z698" s="9" t="str">
        <f ca="1">IF(Y698,COUNTIF($Y$2:$Y698,TRUE),"")</f>
        <v/>
      </c>
      <c r="AA698" s="9" t="str">
        <f t="shared" ca="1" si="99"/>
        <v/>
      </c>
      <c r="AB698" s="9" t="str">
        <f t="shared" ca="1" si="100"/>
        <v/>
      </c>
      <c r="AC698" s="9" t="str">
        <f t="shared" ca="1" si="101"/>
        <v/>
      </c>
      <c r="AD698" s="9" t="str">
        <f t="shared" ca="1" si="102"/>
        <v/>
      </c>
      <c r="AE698" s="9" t="str">
        <f t="shared" ca="1" si="103"/>
        <v/>
      </c>
      <c r="AF698" s="9" t="str">
        <f ca="1">IF(AND(Y698,AA698="ERREUR"),COUNTIF($AA$2:$AA698,"ERREUR"),"")</f>
        <v/>
      </c>
    </row>
    <row r="699" spans="23:32" ht="25" customHeight="1">
      <c r="W699" s="19">
        <f t="shared" ca="1" si="96"/>
        <v>45771</v>
      </c>
      <c r="X699" s="9" t="str">
        <f t="shared" ca="1" si="97"/>
        <v>24042025</v>
      </c>
      <c r="Y699" s="9" t="b">
        <f t="shared" ca="1" si="98"/>
        <v>0</v>
      </c>
      <c r="Z699" s="9" t="str">
        <f ca="1">IF(Y699,COUNTIF($Y$2:$Y699,TRUE),"")</f>
        <v/>
      </c>
      <c r="AA699" s="9" t="str">
        <f t="shared" ca="1" si="99"/>
        <v/>
      </c>
      <c r="AB699" s="9" t="str">
        <f t="shared" ca="1" si="100"/>
        <v/>
      </c>
      <c r="AC699" s="9" t="str">
        <f t="shared" ca="1" si="101"/>
        <v/>
      </c>
      <c r="AD699" s="9" t="str">
        <f t="shared" ca="1" si="102"/>
        <v/>
      </c>
      <c r="AE699" s="9" t="str">
        <f t="shared" ca="1" si="103"/>
        <v/>
      </c>
      <c r="AF699" s="9" t="str">
        <f ca="1">IF(AND(Y699,AA699="ERREUR"),COUNTIF($AA$2:$AA699,"ERREUR"),"")</f>
        <v/>
      </c>
    </row>
    <row r="700" spans="23:32" ht="25" customHeight="1">
      <c r="W700" s="19">
        <f t="shared" ca="1" si="96"/>
        <v>45770</v>
      </c>
      <c r="X700" s="9" t="str">
        <f t="shared" ca="1" si="97"/>
        <v>23042025</v>
      </c>
      <c r="Y700" s="9" t="b">
        <f t="shared" ca="1" si="98"/>
        <v>0</v>
      </c>
      <c r="Z700" s="9" t="str">
        <f ca="1">IF(Y700,COUNTIF($Y$2:$Y700,TRUE),"")</f>
        <v/>
      </c>
      <c r="AA700" s="9" t="str">
        <f t="shared" ca="1" si="99"/>
        <v/>
      </c>
      <c r="AB700" s="9" t="str">
        <f t="shared" ca="1" si="100"/>
        <v/>
      </c>
      <c r="AC700" s="9" t="str">
        <f t="shared" ca="1" si="101"/>
        <v/>
      </c>
      <c r="AD700" s="9" t="str">
        <f t="shared" ca="1" si="102"/>
        <v/>
      </c>
      <c r="AE700" s="9" t="str">
        <f t="shared" ca="1" si="103"/>
        <v/>
      </c>
      <c r="AF700" s="9" t="str">
        <f ca="1">IF(AND(Y700,AA700="ERREUR"),COUNTIF($AA$2:$AA700,"ERREUR"),"")</f>
        <v/>
      </c>
    </row>
    <row r="701" spans="23:32" ht="25" customHeight="1">
      <c r="W701" s="19">
        <f t="shared" ca="1" si="96"/>
        <v>45769</v>
      </c>
      <c r="X701" s="9" t="str">
        <f t="shared" ca="1" si="97"/>
        <v>22042025</v>
      </c>
      <c r="Y701" s="9" t="b">
        <f t="shared" ca="1" si="98"/>
        <v>0</v>
      </c>
      <c r="Z701" s="9" t="str">
        <f ca="1">IF(Y701,COUNTIF($Y$2:$Y701,TRUE),"")</f>
        <v/>
      </c>
      <c r="AA701" s="9" t="str">
        <f t="shared" ca="1" si="99"/>
        <v/>
      </c>
      <c r="AB701" s="9" t="str">
        <f t="shared" ca="1" si="100"/>
        <v/>
      </c>
      <c r="AC701" s="9" t="str">
        <f t="shared" ca="1" si="101"/>
        <v/>
      </c>
      <c r="AD701" s="9" t="str">
        <f t="shared" ca="1" si="102"/>
        <v/>
      </c>
      <c r="AE701" s="9" t="str">
        <f t="shared" ca="1" si="103"/>
        <v/>
      </c>
      <c r="AF701" s="9" t="str">
        <f ca="1">IF(AND(Y701,AA701="ERREUR"),COUNTIF($AA$2:$AA701,"ERREUR"),"")</f>
        <v/>
      </c>
    </row>
    <row r="702" spans="23:32" ht="25" customHeight="1">
      <c r="W702" s="19">
        <f t="shared" ca="1" si="96"/>
        <v>45768</v>
      </c>
      <c r="X702" s="9" t="str">
        <f t="shared" ca="1" si="97"/>
        <v>21042025</v>
      </c>
      <c r="Y702" s="9" t="b">
        <f t="shared" ca="1" si="98"/>
        <v>0</v>
      </c>
      <c r="Z702" s="9" t="str">
        <f ca="1">IF(Y702,COUNTIF($Y$2:$Y702,TRUE),"")</f>
        <v/>
      </c>
      <c r="AA702" s="9" t="str">
        <f t="shared" ca="1" si="99"/>
        <v/>
      </c>
      <c r="AB702" s="9" t="str">
        <f t="shared" ca="1" si="100"/>
        <v/>
      </c>
      <c r="AC702" s="9" t="str">
        <f t="shared" ca="1" si="101"/>
        <v/>
      </c>
      <c r="AD702" s="9" t="str">
        <f t="shared" ca="1" si="102"/>
        <v/>
      </c>
      <c r="AE702" s="9" t="str">
        <f t="shared" ca="1" si="103"/>
        <v/>
      </c>
      <c r="AF702" s="9" t="str">
        <f ca="1">IF(AND(Y702,AA702="ERREUR"),COUNTIF($AA$2:$AA702,"ERREUR"),"")</f>
        <v/>
      </c>
    </row>
    <row r="703" spans="23:32" ht="25" customHeight="1">
      <c r="W703" s="19">
        <f t="shared" ca="1" si="96"/>
        <v>45767</v>
      </c>
      <c r="X703" s="9" t="str">
        <f t="shared" ca="1" si="97"/>
        <v>20042025</v>
      </c>
      <c r="Y703" s="9" t="b">
        <f t="shared" ca="1" si="98"/>
        <v>0</v>
      </c>
      <c r="Z703" s="9" t="str">
        <f ca="1">IF(Y703,COUNTIF($Y$2:$Y703,TRUE),"")</f>
        <v/>
      </c>
      <c r="AA703" s="9" t="str">
        <f t="shared" ca="1" si="99"/>
        <v/>
      </c>
      <c r="AB703" s="9" t="str">
        <f t="shared" ca="1" si="100"/>
        <v/>
      </c>
      <c r="AC703" s="9" t="str">
        <f t="shared" ca="1" si="101"/>
        <v/>
      </c>
      <c r="AD703" s="9" t="str">
        <f t="shared" ca="1" si="102"/>
        <v/>
      </c>
      <c r="AE703" s="9" t="str">
        <f t="shared" ca="1" si="103"/>
        <v/>
      </c>
      <c r="AF703" s="9" t="str">
        <f ca="1">IF(AND(Y703,AA703="ERREUR"),COUNTIF($AA$2:$AA703,"ERREUR"),"")</f>
        <v/>
      </c>
    </row>
    <row r="704" spans="23:32" ht="25" customHeight="1">
      <c r="W704" s="19">
        <f t="shared" ca="1" si="96"/>
        <v>45766</v>
      </c>
      <c r="X704" s="9" t="str">
        <f t="shared" ca="1" si="97"/>
        <v>19042025</v>
      </c>
      <c r="Y704" s="9" t="b">
        <f t="shared" ca="1" si="98"/>
        <v>0</v>
      </c>
      <c r="Z704" s="9" t="str">
        <f ca="1">IF(Y704,COUNTIF($Y$2:$Y704,TRUE),"")</f>
        <v/>
      </c>
      <c r="AA704" s="9" t="str">
        <f t="shared" ca="1" si="99"/>
        <v/>
      </c>
      <c r="AB704" s="9" t="str">
        <f t="shared" ca="1" si="100"/>
        <v/>
      </c>
      <c r="AC704" s="9" t="str">
        <f t="shared" ca="1" si="101"/>
        <v/>
      </c>
      <c r="AD704" s="9" t="str">
        <f t="shared" ca="1" si="102"/>
        <v/>
      </c>
      <c r="AE704" s="9" t="str">
        <f t="shared" ca="1" si="103"/>
        <v/>
      </c>
      <c r="AF704" s="9" t="str">
        <f ca="1">IF(AND(Y704,AA704="ERREUR"),COUNTIF($AA$2:$AA704,"ERREUR"),"")</f>
        <v/>
      </c>
    </row>
    <row r="705" spans="23:32" ht="25" customHeight="1">
      <c r="W705" s="19">
        <f t="shared" ca="1" si="96"/>
        <v>45765</v>
      </c>
      <c r="X705" s="9" t="str">
        <f t="shared" ca="1" si="97"/>
        <v>18042025</v>
      </c>
      <c r="Y705" s="9" t="b">
        <f t="shared" ca="1" si="98"/>
        <v>0</v>
      </c>
      <c r="Z705" s="9" t="str">
        <f ca="1">IF(Y705,COUNTIF($Y$2:$Y705,TRUE),"")</f>
        <v/>
      </c>
      <c r="AA705" s="9" t="str">
        <f t="shared" ca="1" si="99"/>
        <v/>
      </c>
      <c r="AB705" s="9" t="str">
        <f t="shared" ca="1" si="100"/>
        <v/>
      </c>
      <c r="AC705" s="9" t="str">
        <f t="shared" ca="1" si="101"/>
        <v/>
      </c>
      <c r="AD705" s="9" t="str">
        <f t="shared" ca="1" si="102"/>
        <v/>
      </c>
      <c r="AE705" s="9" t="str">
        <f t="shared" ca="1" si="103"/>
        <v/>
      </c>
      <c r="AF705" s="9" t="str">
        <f ca="1">IF(AND(Y705,AA705="ERREUR"),COUNTIF($AA$2:$AA705,"ERREUR"),"")</f>
        <v/>
      </c>
    </row>
    <row r="706" spans="23:32" ht="25" customHeight="1">
      <c r="W706" s="19">
        <f t="shared" ref="W706:W769" ca="1" si="104">TODAY()+365-ROW()+2</f>
        <v>45764</v>
      </c>
      <c r="X706" s="9" t="str">
        <f t="shared" ref="X706:X769" ca="1" si="105">RIGHT("0"&amp;DAY(W706),2)&amp;RIGHT("0"&amp;MONTH(W706),2)&amp;YEAR(W706)</f>
        <v>17042025</v>
      </c>
      <c r="Y706" s="9" t="b">
        <f t="shared" ref="Y706:Y769" ca="1" si="106">IFERROR(INDIRECT(CHAR(39)&amp;X706&amp;CHAR(39)&amp;"!C3")="DATE DE CAISSE",FALSE)</f>
        <v>0</v>
      </c>
      <c r="Z706" s="9" t="str">
        <f ca="1">IF(Y706,COUNTIF($Y$2:$Y706,TRUE),"")</f>
        <v/>
      </c>
      <c r="AA706" s="9" t="str">
        <f t="shared" ref="AA706:AA769" ca="1" si="107">IF($Y706,IFERROR(IF(INDIRECT(CHAR(39)&amp;$X706&amp;CHAR(39)&amp;"!P3")="VIDE","NON SAISIE",INDIRECT(CHAR(39)&amp;$X706&amp;CHAR(39)&amp;"!P3")),""),"")</f>
        <v/>
      </c>
      <c r="AB706" s="9" t="str">
        <f t="shared" ref="AB706:AB769" ca="1" si="108">IF($Y706,IFERROR(INDIRECT(CHAR(39)&amp;$X706&amp;CHAR(39)&amp;"!M59"),""),"")</f>
        <v/>
      </c>
      <c r="AC706" s="9" t="str">
        <f t="shared" ref="AC706:AC769" ca="1" si="109">IF(Y706,IFERROR(INDIRECT(CHAR(39)&amp;X706&amp;CHAR(39)&amp;"!M3"),""),"")</f>
        <v/>
      </c>
      <c r="AD706" s="9" t="str">
        <f t="shared" ref="AD706:AD769" ca="1" si="110">IF(Y706,IFERROR(INDIRECT(CHAR(39)&amp;X706&amp;CHAR(39)&amp;"!M60"),""),"")</f>
        <v/>
      </c>
      <c r="AE706" s="9" t="str">
        <f t="shared" ref="AE706:AE769" ca="1" si="111">IF($Y706,IF($AA706="OK","RAS",IF($AA706="NON SAISIE","Non saisie",IF($AC706&lt;&gt;0,"Ecart de saisie",IF($AD706&lt;&gt;0,"Ecart de caisse",IF(IFERROR(COUNTIF(INDIRECT(CHAR(39)&amp;$X706&amp;CHAR(39)&amp;"!M11:M40"),"ERREUR"),0)&gt;0,"Lignes facture",IF(IFERROR(COUNTIF(INDIRECT(CHAR(39)&amp;$X706&amp;CHAR(39)&amp;"!N47:N50"),"&lt;&gt;OK"),0)&gt;0,"Controle banque","A verifier")))))),"")</f>
        <v/>
      </c>
      <c r="AF706" s="9" t="str">
        <f ca="1">IF(AND(Y706,AA706="ERREUR"),COUNTIF($AA$2:$AA706,"ERREUR"),"")</f>
        <v/>
      </c>
    </row>
    <row r="707" spans="23:32" ht="25" customHeight="1">
      <c r="W707" s="19">
        <f t="shared" ca="1" si="104"/>
        <v>45763</v>
      </c>
      <c r="X707" s="9" t="str">
        <f t="shared" ca="1" si="105"/>
        <v>16042025</v>
      </c>
      <c r="Y707" s="9" t="b">
        <f t="shared" ca="1" si="106"/>
        <v>0</v>
      </c>
      <c r="Z707" s="9" t="str">
        <f ca="1">IF(Y707,COUNTIF($Y$2:$Y707,TRUE),"")</f>
        <v/>
      </c>
      <c r="AA707" s="9" t="str">
        <f t="shared" ca="1" si="107"/>
        <v/>
      </c>
      <c r="AB707" s="9" t="str">
        <f t="shared" ca="1" si="108"/>
        <v/>
      </c>
      <c r="AC707" s="9" t="str">
        <f t="shared" ca="1" si="109"/>
        <v/>
      </c>
      <c r="AD707" s="9" t="str">
        <f t="shared" ca="1" si="110"/>
        <v/>
      </c>
      <c r="AE707" s="9" t="str">
        <f t="shared" ca="1" si="111"/>
        <v/>
      </c>
      <c r="AF707" s="9" t="str">
        <f ca="1">IF(AND(Y707,AA707="ERREUR"),COUNTIF($AA$2:$AA707,"ERREUR"),"")</f>
        <v/>
      </c>
    </row>
    <row r="708" spans="23:32" ht="25" customHeight="1">
      <c r="W708" s="19">
        <f t="shared" ca="1" si="104"/>
        <v>45762</v>
      </c>
      <c r="X708" s="9" t="str">
        <f t="shared" ca="1" si="105"/>
        <v>15042025</v>
      </c>
      <c r="Y708" s="9" t="b">
        <f t="shared" ca="1" si="106"/>
        <v>0</v>
      </c>
      <c r="Z708" s="9" t="str">
        <f ca="1">IF(Y708,COUNTIF($Y$2:$Y708,TRUE),"")</f>
        <v/>
      </c>
      <c r="AA708" s="9" t="str">
        <f t="shared" ca="1" si="107"/>
        <v/>
      </c>
      <c r="AB708" s="9" t="str">
        <f t="shared" ca="1" si="108"/>
        <v/>
      </c>
      <c r="AC708" s="9" t="str">
        <f t="shared" ca="1" si="109"/>
        <v/>
      </c>
      <c r="AD708" s="9" t="str">
        <f t="shared" ca="1" si="110"/>
        <v/>
      </c>
      <c r="AE708" s="9" t="str">
        <f t="shared" ca="1" si="111"/>
        <v/>
      </c>
      <c r="AF708" s="9" t="str">
        <f ca="1">IF(AND(Y708,AA708="ERREUR"),COUNTIF($AA$2:$AA708,"ERREUR"),"")</f>
        <v/>
      </c>
    </row>
    <row r="709" spans="23:32" ht="25" customHeight="1">
      <c r="W709" s="19">
        <f t="shared" ca="1" si="104"/>
        <v>45761</v>
      </c>
      <c r="X709" s="9" t="str">
        <f t="shared" ca="1" si="105"/>
        <v>14042025</v>
      </c>
      <c r="Y709" s="9" t="b">
        <f t="shared" ca="1" si="106"/>
        <v>0</v>
      </c>
      <c r="Z709" s="9" t="str">
        <f ca="1">IF(Y709,COUNTIF($Y$2:$Y709,TRUE),"")</f>
        <v/>
      </c>
      <c r="AA709" s="9" t="str">
        <f t="shared" ca="1" si="107"/>
        <v/>
      </c>
      <c r="AB709" s="9" t="str">
        <f t="shared" ca="1" si="108"/>
        <v/>
      </c>
      <c r="AC709" s="9" t="str">
        <f t="shared" ca="1" si="109"/>
        <v/>
      </c>
      <c r="AD709" s="9" t="str">
        <f t="shared" ca="1" si="110"/>
        <v/>
      </c>
      <c r="AE709" s="9" t="str">
        <f t="shared" ca="1" si="111"/>
        <v/>
      </c>
      <c r="AF709" s="9" t="str">
        <f ca="1">IF(AND(Y709,AA709="ERREUR"),COUNTIF($AA$2:$AA709,"ERREUR"),"")</f>
        <v/>
      </c>
    </row>
    <row r="710" spans="23:32" ht="25" customHeight="1">
      <c r="W710" s="19">
        <f t="shared" ca="1" si="104"/>
        <v>45760</v>
      </c>
      <c r="X710" s="9" t="str">
        <f t="shared" ca="1" si="105"/>
        <v>13042025</v>
      </c>
      <c r="Y710" s="9" t="b">
        <f t="shared" ca="1" si="106"/>
        <v>0</v>
      </c>
      <c r="Z710" s="9" t="str">
        <f ca="1">IF(Y710,COUNTIF($Y$2:$Y710,TRUE),"")</f>
        <v/>
      </c>
      <c r="AA710" s="9" t="str">
        <f t="shared" ca="1" si="107"/>
        <v/>
      </c>
      <c r="AB710" s="9" t="str">
        <f t="shared" ca="1" si="108"/>
        <v/>
      </c>
      <c r="AC710" s="9" t="str">
        <f t="shared" ca="1" si="109"/>
        <v/>
      </c>
      <c r="AD710" s="9" t="str">
        <f t="shared" ca="1" si="110"/>
        <v/>
      </c>
      <c r="AE710" s="9" t="str">
        <f t="shared" ca="1" si="111"/>
        <v/>
      </c>
      <c r="AF710" s="9" t="str">
        <f ca="1">IF(AND(Y710,AA710="ERREUR"),COUNTIF($AA$2:$AA710,"ERREUR"),"")</f>
        <v/>
      </c>
    </row>
    <row r="711" spans="23:32" ht="25" customHeight="1">
      <c r="W711" s="19">
        <f t="shared" ca="1" si="104"/>
        <v>45759</v>
      </c>
      <c r="X711" s="9" t="str">
        <f t="shared" ca="1" si="105"/>
        <v>12042025</v>
      </c>
      <c r="Y711" s="9" t="b">
        <f t="shared" ca="1" si="106"/>
        <v>0</v>
      </c>
      <c r="Z711" s="9" t="str">
        <f ca="1">IF(Y711,COUNTIF($Y$2:$Y711,TRUE),"")</f>
        <v/>
      </c>
      <c r="AA711" s="9" t="str">
        <f t="shared" ca="1" si="107"/>
        <v/>
      </c>
      <c r="AB711" s="9" t="str">
        <f t="shared" ca="1" si="108"/>
        <v/>
      </c>
      <c r="AC711" s="9" t="str">
        <f t="shared" ca="1" si="109"/>
        <v/>
      </c>
      <c r="AD711" s="9" t="str">
        <f t="shared" ca="1" si="110"/>
        <v/>
      </c>
      <c r="AE711" s="9" t="str">
        <f t="shared" ca="1" si="111"/>
        <v/>
      </c>
      <c r="AF711" s="9" t="str">
        <f ca="1">IF(AND(Y711,AA711="ERREUR"),COUNTIF($AA$2:$AA711,"ERREUR"),"")</f>
        <v/>
      </c>
    </row>
    <row r="712" spans="23:32" ht="25" customHeight="1">
      <c r="W712" s="19">
        <f t="shared" ca="1" si="104"/>
        <v>45758</v>
      </c>
      <c r="X712" s="9" t="str">
        <f t="shared" ca="1" si="105"/>
        <v>11042025</v>
      </c>
      <c r="Y712" s="9" t="b">
        <f t="shared" ca="1" si="106"/>
        <v>0</v>
      </c>
      <c r="Z712" s="9" t="str">
        <f ca="1">IF(Y712,COUNTIF($Y$2:$Y712,TRUE),"")</f>
        <v/>
      </c>
      <c r="AA712" s="9" t="str">
        <f t="shared" ca="1" si="107"/>
        <v/>
      </c>
      <c r="AB712" s="9" t="str">
        <f t="shared" ca="1" si="108"/>
        <v/>
      </c>
      <c r="AC712" s="9" t="str">
        <f t="shared" ca="1" si="109"/>
        <v/>
      </c>
      <c r="AD712" s="9" t="str">
        <f t="shared" ca="1" si="110"/>
        <v/>
      </c>
      <c r="AE712" s="9" t="str">
        <f t="shared" ca="1" si="111"/>
        <v/>
      </c>
      <c r="AF712" s="9" t="str">
        <f ca="1">IF(AND(Y712,AA712="ERREUR"),COUNTIF($AA$2:$AA712,"ERREUR"),"")</f>
        <v/>
      </c>
    </row>
    <row r="713" spans="23:32" ht="25" customHeight="1">
      <c r="W713" s="19">
        <f t="shared" ca="1" si="104"/>
        <v>45757</v>
      </c>
      <c r="X713" s="9" t="str">
        <f t="shared" ca="1" si="105"/>
        <v>10042025</v>
      </c>
      <c r="Y713" s="9" t="b">
        <f t="shared" ca="1" si="106"/>
        <v>0</v>
      </c>
      <c r="Z713" s="9" t="str">
        <f ca="1">IF(Y713,COUNTIF($Y$2:$Y713,TRUE),"")</f>
        <v/>
      </c>
      <c r="AA713" s="9" t="str">
        <f t="shared" ca="1" si="107"/>
        <v/>
      </c>
      <c r="AB713" s="9" t="str">
        <f t="shared" ca="1" si="108"/>
        <v/>
      </c>
      <c r="AC713" s="9" t="str">
        <f t="shared" ca="1" si="109"/>
        <v/>
      </c>
      <c r="AD713" s="9" t="str">
        <f t="shared" ca="1" si="110"/>
        <v/>
      </c>
      <c r="AE713" s="9" t="str">
        <f t="shared" ca="1" si="111"/>
        <v/>
      </c>
      <c r="AF713" s="9" t="str">
        <f ca="1">IF(AND(Y713,AA713="ERREUR"),COUNTIF($AA$2:$AA713,"ERREUR"),"")</f>
        <v/>
      </c>
    </row>
    <row r="714" spans="23:32" ht="25" customHeight="1">
      <c r="W714" s="19">
        <f t="shared" ca="1" si="104"/>
        <v>45756</v>
      </c>
      <c r="X714" s="9" t="str">
        <f t="shared" ca="1" si="105"/>
        <v>09042025</v>
      </c>
      <c r="Y714" s="9" t="b">
        <f t="shared" ca="1" si="106"/>
        <v>0</v>
      </c>
      <c r="Z714" s="9" t="str">
        <f ca="1">IF(Y714,COUNTIF($Y$2:$Y714,TRUE),"")</f>
        <v/>
      </c>
      <c r="AA714" s="9" t="str">
        <f t="shared" ca="1" si="107"/>
        <v/>
      </c>
      <c r="AB714" s="9" t="str">
        <f t="shared" ca="1" si="108"/>
        <v/>
      </c>
      <c r="AC714" s="9" t="str">
        <f t="shared" ca="1" si="109"/>
        <v/>
      </c>
      <c r="AD714" s="9" t="str">
        <f t="shared" ca="1" si="110"/>
        <v/>
      </c>
      <c r="AE714" s="9" t="str">
        <f t="shared" ca="1" si="111"/>
        <v/>
      </c>
      <c r="AF714" s="9" t="str">
        <f ca="1">IF(AND(Y714,AA714="ERREUR"),COUNTIF($AA$2:$AA714,"ERREUR"),"")</f>
        <v/>
      </c>
    </row>
    <row r="715" spans="23:32" ht="25" customHeight="1">
      <c r="W715" s="19">
        <f t="shared" ca="1" si="104"/>
        <v>45755</v>
      </c>
      <c r="X715" s="9" t="str">
        <f t="shared" ca="1" si="105"/>
        <v>08042025</v>
      </c>
      <c r="Y715" s="9" t="b">
        <f t="shared" ca="1" si="106"/>
        <v>0</v>
      </c>
      <c r="Z715" s="9" t="str">
        <f ca="1">IF(Y715,COUNTIF($Y$2:$Y715,TRUE),"")</f>
        <v/>
      </c>
      <c r="AA715" s="9" t="str">
        <f t="shared" ca="1" si="107"/>
        <v/>
      </c>
      <c r="AB715" s="9" t="str">
        <f t="shared" ca="1" si="108"/>
        <v/>
      </c>
      <c r="AC715" s="9" t="str">
        <f t="shared" ca="1" si="109"/>
        <v/>
      </c>
      <c r="AD715" s="9" t="str">
        <f t="shared" ca="1" si="110"/>
        <v/>
      </c>
      <c r="AE715" s="9" t="str">
        <f t="shared" ca="1" si="111"/>
        <v/>
      </c>
      <c r="AF715" s="9" t="str">
        <f ca="1">IF(AND(Y715,AA715="ERREUR"),COUNTIF($AA$2:$AA715,"ERREUR"),"")</f>
        <v/>
      </c>
    </row>
    <row r="716" spans="23:32" ht="25" customHeight="1">
      <c r="W716" s="19">
        <f t="shared" ca="1" si="104"/>
        <v>45754</v>
      </c>
      <c r="X716" s="9" t="str">
        <f t="shared" ca="1" si="105"/>
        <v>07042025</v>
      </c>
      <c r="Y716" s="9" t="b">
        <f t="shared" ca="1" si="106"/>
        <v>0</v>
      </c>
      <c r="Z716" s="9" t="str">
        <f ca="1">IF(Y716,COUNTIF($Y$2:$Y716,TRUE),"")</f>
        <v/>
      </c>
      <c r="AA716" s="9" t="str">
        <f t="shared" ca="1" si="107"/>
        <v/>
      </c>
      <c r="AB716" s="9" t="str">
        <f t="shared" ca="1" si="108"/>
        <v/>
      </c>
      <c r="AC716" s="9" t="str">
        <f t="shared" ca="1" si="109"/>
        <v/>
      </c>
      <c r="AD716" s="9" t="str">
        <f t="shared" ca="1" si="110"/>
        <v/>
      </c>
      <c r="AE716" s="9" t="str">
        <f t="shared" ca="1" si="111"/>
        <v/>
      </c>
      <c r="AF716" s="9" t="str">
        <f ca="1">IF(AND(Y716,AA716="ERREUR"),COUNTIF($AA$2:$AA716,"ERREUR"),"")</f>
        <v/>
      </c>
    </row>
    <row r="717" spans="23:32" ht="25" customHeight="1">
      <c r="W717" s="19">
        <f t="shared" ca="1" si="104"/>
        <v>45753</v>
      </c>
      <c r="X717" s="9" t="str">
        <f t="shared" ca="1" si="105"/>
        <v>06042025</v>
      </c>
      <c r="Y717" s="9" t="b">
        <f t="shared" ca="1" si="106"/>
        <v>0</v>
      </c>
      <c r="Z717" s="9" t="str">
        <f ca="1">IF(Y717,COUNTIF($Y$2:$Y717,TRUE),"")</f>
        <v/>
      </c>
      <c r="AA717" s="9" t="str">
        <f t="shared" ca="1" si="107"/>
        <v/>
      </c>
      <c r="AB717" s="9" t="str">
        <f t="shared" ca="1" si="108"/>
        <v/>
      </c>
      <c r="AC717" s="9" t="str">
        <f t="shared" ca="1" si="109"/>
        <v/>
      </c>
      <c r="AD717" s="9" t="str">
        <f t="shared" ca="1" si="110"/>
        <v/>
      </c>
      <c r="AE717" s="9" t="str">
        <f t="shared" ca="1" si="111"/>
        <v/>
      </c>
      <c r="AF717" s="9" t="str">
        <f ca="1">IF(AND(Y717,AA717="ERREUR"),COUNTIF($AA$2:$AA717,"ERREUR"),"")</f>
        <v/>
      </c>
    </row>
    <row r="718" spans="23:32" ht="25" customHeight="1">
      <c r="W718" s="19">
        <f t="shared" ca="1" si="104"/>
        <v>45752</v>
      </c>
      <c r="X718" s="9" t="str">
        <f t="shared" ca="1" si="105"/>
        <v>05042025</v>
      </c>
      <c r="Y718" s="9" t="b">
        <f t="shared" ca="1" si="106"/>
        <v>0</v>
      </c>
      <c r="Z718" s="9" t="str">
        <f ca="1">IF(Y718,COUNTIF($Y$2:$Y718,TRUE),"")</f>
        <v/>
      </c>
      <c r="AA718" s="9" t="str">
        <f t="shared" ca="1" si="107"/>
        <v/>
      </c>
      <c r="AB718" s="9" t="str">
        <f t="shared" ca="1" si="108"/>
        <v/>
      </c>
      <c r="AC718" s="9" t="str">
        <f t="shared" ca="1" si="109"/>
        <v/>
      </c>
      <c r="AD718" s="9" t="str">
        <f t="shared" ca="1" si="110"/>
        <v/>
      </c>
      <c r="AE718" s="9" t="str">
        <f t="shared" ca="1" si="111"/>
        <v/>
      </c>
      <c r="AF718" s="9" t="str">
        <f ca="1">IF(AND(Y718,AA718="ERREUR"),COUNTIF($AA$2:$AA718,"ERREUR"),"")</f>
        <v/>
      </c>
    </row>
    <row r="719" spans="23:32" ht="25" customHeight="1">
      <c r="W719" s="19">
        <f t="shared" ca="1" si="104"/>
        <v>45751</v>
      </c>
      <c r="X719" s="9" t="str">
        <f t="shared" ca="1" si="105"/>
        <v>04042025</v>
      </c>
      <c r="Y719" s="9" t="b">
        <f t="shared" ca="1" si="106"/>
        <v>0</v>
      </c>
      <c r="Z719" s="9" t="str">
        <f ca="1">IF(Y719,COUNTIF($Y$2:$Y719,TRUE),"")</f>
        <v/>
      </c>
      <c r="AA719" s="9" t="str">
        <f t="shared" ca="1" si="107"/>
        <v/>
      </c>
      <c r="AB719" s="9" t="str">
        <f t="shared" ca="1" si="108"/>
        <v/>
      </c>
      <c r="AC719" s="9" t="str">
        <f t="shared" ca="1" si="109"/>
        <v/>
      </c>
      <c r="AD719" s="9" t="str">
        <f t="shared" ca="1" si="110"/>
        <v/>
      </c>
      <c r="AE719" s="9" t="str">
        <f t="shared" ca="1" si="111"/>
        <v/>
      </c>
      <c r="AF719" s="9" t="str">
        <f ca="1">IF(AND(Y719,AA719="ERREUR"),COUNTIF($AA$2:$AA719,"ERREUR"),"")</f>
        <v/>
      </c>
    </row>
    <row r="720" spans="23:32" ht="25" customHeight="1">
      <c r="W720" s="19">
        <f t="shared" ca="1" si="104"/>
        <v>45750</v>
      </c>
      <c r="X720" s="9" t="str">
        <f t="shared" ca="1" si="105"/>
        <v>03042025</v>
      </c>
      <c r="Y720" s="9" t="b">
        <f t="shared" ca="1" si="106"/>
        <v>0</v>
      </c>
      <c r="Z720" s="9" t="str">
        <f ca="1">IF(Y720,COUNTIF($Y$2:$Y720,TRUE),"")</f>
        <v/>
      </c>
      <c r="AA720" s="9" t="str">
        <f t="shared" ca="1" si="107"/>
        <v/>
      </c>
      <c r="AB720" s="9" t="str">
        <f t="shared" ca="1" si="108"/>
        <v/>
      </c>
      <c r="AC720" s="9" t="str">
        <f t="shared" ca="1" si="109"/>
        <v/>
      </c>
      <c r="AD720" s="9" t="str">
        <f t="shared" ca="1" si="110"/>
        <v/>
      </c>
      <c r="AE720" s="9" t="str">
        <f t="shared" ca="1" si="111"/>
        <v/>
      </c>
      <c r="AF720" s="9" t="str">
        <f ca="1">IF(AND(Y720,AA720="ERREUR"),COUNTIF($AA$2:$AA720,"ERREUR"),"")</f>
        <v/>
      </c>
    </row>
    <row r="721" spans="23:32" ht="25" customHeight="1">
      <c r="W721" s="19">
        <f t="shared" ca="1" si="104"/>
        <v>45749</v>
      </c>
      <c r="X721" s="9" t="str">
        <f t="shared" ca="1" si="105"/>
        <v>02042025</v>
      </c>
      <c r="Y721" s="9" t="b">
        <f t="shared" ca="1" si="106"/>
        <v>0</v>
      </c>
      <c r="Z721" s="9" t="str">
        <f ca="1">IF(Y721,COUNTIF($Y$2:$Y721,TRUE),"")</f>
        <v/>
      </c>
      <c r="AA721" s="9" t="str">
        <f t="shared" ca="1" si="107"/>
        <v/>
      </c>
      <c r="AB721" s="9" t="str">
        <f t="shared" ca="1" si="108"/>
        <v/>
      </c>
      <c r="AC721" s="9" t="str">
        <f t="shared" ca="1" si="109"/>
        <v/>
      </c>
      <c r="AD721" s="9" t="str">
        <f t="shared" ca="1" si="110"/>
        <v/>
      </c>
      <c r="AE721" s="9" t="str">
        <f t="shared" ca="1" si="111"/>
        <v/>
      </c>
      <c r="AF721" s="9" t="str">
        <f ca="1">IF(AND(Y721,AA721="ERREUR"),COUNTIF($AA$2:$AA721,"ERREUR"),"")</f>
        <v/>
      </c>
    </row>
    <row r="722" spans="23:32" ht="25" customHeight="1">
      <c r="W722" s="19">
        <f t="shared" ca="1" si="104"/>
        <v>45748</v>
      </c>
      <c r="X722" s="9" t="str">
        <f t="shared" ca="1" si="105"/>
        <v>01042025</v>
      </c>
      <c r="Y722" s="9" t="b">
        <f t="shared" ca="1" si="106"/>
        <v>0</v>
      </c>
      <c r="Z722" s="9" t="str">
        <f ca="1">IF(Y722,COUNTIF($Y$2:$Y722,TRUE),"")</f>
        <v/>
      </c>
      <c r="AA722" s="9" t="str">
        <f t="shared" ca="1" si="107"/>
        <v/>
      </c>
      <c r="AB722" s="9" t="str">
        <f t="shared" ca="1" si="108"/>
        <v/>
      </c>
      <c r="AC722" s="9" t="str">
        <f t="shared" ca="1" si="109"/>
        <v/>
      </c>
      <c r="AD722" s="9" t="str">
        <f t="shared" ca="1" si="110"/>
        <v/>
      </c>
      <c r="AE722" s="9" t="str">
        <f t="shared" ca="1" si="111"/>
        <v/>
      </c>
      <c r="AF722" s="9" t="str">
        <f ca="1">IF(AND(Y722,AA722="ERREUR"),COUNTIF($AA$2:$AA722,"ERREUR"),"")</f>
        <v/>
      </c>
    </row>
    <row r="723" spans="23:32" ht="25" customHeight="1">
      <c r="W723" s="19">
        <f t="shared" ca="1" si="104"/>
        <v>45747</v>
      </c>
      <c r="X723" s="9" t="str">
        <f t="shared" ca="1" si="105"/>
        <v>31032025</v>
      </c>
      <c r="Y723" s="9" t="b">
        <f t="shared" ca="1" si="106"/>
        <v>0</v>
      </c>
      <c r="Z723" s="9" t="str">
        <f ca="1">IF(Y723,COUNTIF($Y$2:$Y723,TRUE),"")</f>
        <v/>
      </c>
      <c r="AA723" s="9" t="str">
        <f t="shared" ca="1" si="107"/>
        <v/>
      </c>
      <c r="AB723" s="9" t="str">
        <f t="shared" ca="1" si="108"/>
        <v/>
      </c>
      <c r="AC723" s="9" t="str">
        <f t="shared" ca="1" si="109"/>
        <v/>
      </c>
      <c r="AD723" s="9" t="str">
        <f t="shared" ca="1" si="110"/>
        <v/>
      </c>
      <c r="AE723" s="9" t="str">
        <f t="shared" ca="1" si="111"/>
        <v/>
      </c>
      <c r="AF723" s="9" t="str">
        <f ca="1">IF(AND(Y723,AA723="ERREUR"),COUNTIF($AA$2:$AA723,"ERREUR"),"")</f>
        <v/>
      </c>
    </row>
    <row r="724" spans="23:32" ht="25" customHeight="1">
      <c r="W724" s="19">
        <f t="shared" ca="1" si="104"/>
        <v>45746</v>
      </c>
      <c r="X724" s="9" t="str">
        <f t="shared" ca="1" si="105"/>
        <v>30032025</v>
      </c>
      <c r="Y724" s="9" t="b">
        <f t="shared" ca="1" si="106"/>
        <v>0</v>
      </c>
      <c r="Z724" s="9" t="str">
        <f ca="1">IF(Y724,COUNTIF($Y$2:$Y724,TRUE),"")</f>
        <v/>
      </c>
      <c r="AA724" s="9" t="str">
        <f t="shared" ca="1" si="107"/>
        <v/>
      </c>
      <c r="AB724" s="9" t="str">
        <f t="shared" ca="1" si="108"/>
        <v/>
      </c>
      <c r="AC724" s="9" t="str">
        <f t="shared" ca="1" si="109"/>
        <v/>
      </c>
      <c r="AD724" s="9" t="str">
        <f t="shared" ca="1" si="110"/>
        <v/>
      </c>
      <c r="AE724" s="9" t="str">
        <f t="shared" ca="1" si="111"/>
        <v/>
      </c>
      <c r="AF724" s="9" t="str">
        <f ca="1">IF(AND(Y724,AA724="ERREUR"),COUNTIF($AA$2:$AA724,"ERREUR"),"")</f>
        <v/>
      </c>
    </row>
    <row r="725" spans="23:32" ht="25" customHeight="1">
      <c r="W725" s="19">
        <f t="shared" ca="1" si="104"/>
        <v>45745</v>
      </c>
      <c r="X725" s="9" t="str">
        <f t="shared" ca="1" si="105"/>
        <v>29032025</v>
      </c>
      <c r="Y725" s="9" t="b">
        <f t="shared" ca="1" si="106"/>
        <v>0</v>
      </c>
      <c r="Z725" s="9" t="str">
        <f ca="1">IF(Y725,COUNTIF($Y$2:$Y725,TRUE),"")</f>
        <v/>
      </c>
      <c r="AA725" s="9" t="str">
        <f t="shared" ca="1" si="107"/>
        <v/>
      </c>
      <c r="AB725" s="9" t="str">
        <f t="shared" ca="1" si="108"/>
        <v/>
      </c>
      <c r="AC725" s="9" t="str">
        <f t="shared" ca="1" si="109"/>
        <v/>
      </c>
      <c r="AD725" s="9" t="str">
        <f t="shared" ca="1" si="110"/>
        <v/>
      </c>
      <c r="AE725" s="9" t="str">
        <f t="shared" ca="1" si="111"/>
        <v/>
      </c>
      <c r="AF725" s="9" t="str">
        <f ca="1">IF(AND(Y725,AA725="ERREUR"),COUNTIF($AA$2:$AA725,"ERREUR"),"")</f>
        <v/>
      </c>
    </row>
    <row r="726" spans="23:32" ht="25" customHeight="1">
      <c r="W726" s="19">
        <f t="shared" ca="1" si="104"/>
        <v>45744</v>
      </c>
      <c r="X726" s="9" t="str">
        <f t="shared" ca="1" si="105"/>
        <v>28032025</v>
      </c>
      <c r="Y726" s="9" t="b">
        <f t="shared" ca="1" si="106"/>
        <v>0</v>
      </c>
      <c r="Z726" s="9" t="str">
        <f ca="1">IF(Y726,COUNTIF($Y$2:$Y726,TRUE),"")</f>
        <v/>
      </c>
      <c r="AA726" s="9" t="str">
        <f t="shared" ca="1" si="107"/>
        <v/>
      </c>
      <c r="AB726" s="9" t="str">
        <f t="shared" ca="1" si="108"/>
        <v/>
      </c>
      <c r="AC726" s="9" t="str">
        <f t="shared" ca="1" si="109"/>
        <v/>
      </c>
      <c r="AD726" s="9" t="str">
        <f t="shared" ca="1" si="110"/>
        <v/>
      </c>
      <c r="AE726" s="9" t="str">
        <f t="shared" ca="1" si="111"/>
        <v/>
      </c>
      <c r="AF726" s="9" t="str">
        <f ca="1">IF(AND(Y726,AA726="ERREUR"),COUNTIF($AA$2:$AA726,"ERREUR"),"")</f>
        <v/>
      </c>
    </row>
    <row r="727" spans="23:32" ht="25" customHeight="1">
      <c r="W727" s="19">
        <f t="shared" ca="1" si="104"/>
        <v>45743</v>
      </c>
      <c r="X727" s="9" t="str">
        <f t="shared" ca="1" si="105"/>
        <v>27032025</v>
      </c>
      <c r="Y727" s="9" t="b">
        <f t="shared" ca="1" si="106"/>
        <v>0</v>
      </c>
      <c r="Z727" s="9" t="str">
        <f ca="1">IF(Y727,COUNTIF($Y$2:$Y727,TRUE),"")</f>
        <v/>
      </c>
      <c r="AA727" s="9" t="str">
        <f t="shared" ca="1" si="107"/>
        <v/>
      </c>
      <c r="AB727" s="9" t="str">
        <f t="shared" ca="1" si="108"/>
        <v/>
      </c>
      <c r="AC727" s="9" t="str">
        <f t="shared" ca="1" si="109"/>
        <v/>
      </c>
      <c r="AD727" s="9" t="str">
        <f t="shared" ca="1" si="110"/>
        <v/>
      </c>
      <c r="AE727" s="9" t="str">
        <f t="shared" ca="1" si="111"/>
        <v/>
      </c>
      <c r="AF727" s="9" t="str">
        <f ca="1">IF(AND(Y727,AA727="ERREUR"),COUNTIF($AA$2:$AA727,"ERREUR"),"")</f>
        <v/>
      </c>
    </row>
    <row r="728" spans="23:32" ht="25" customHeight="1">
      <c r="W728" s="19">
        <f t="shared" ca="1" si="104"/>
        <v>45742</v>
      </c>
      <c r="X728" s="9" t="str">
        <f t="shared" ca="1" si="105"/>
        <v>26032025</v>
      </c>
      <c r="Y728" s="9" t="b">
        <f t="shared" ca="1" si="106"/>
        <v>0</v>
      </c>
      <c r="Z728" s="9" t="str">
        <f ca="1">IF(Y728,COUNTIF($Y$2:$Y728,TRUE),"")</f>
        <v/>
      </c>
      <c r="AA728" s="9" t="str">
        <f t="shared" ca="1" si="107"/>
        <v/>
      </c>
      <c r="AB728" s="9" t="str">
        <f t="shared" ca="1" si="108"/>
        <v/>
      </c>
      <c r="AC728" s="9" t="str">
        <f t="shared" ca="1" si="109"/>
        <v/>
      </c>
      <c r="AD728" s="9" t="str">
        <f t="shared" ca="1" si="110"/>
        <v/>
      </c>
      <c r="AE728" s="9" t="str">
        <f t="shared" ca="1" si="111"/>
        <v/>
      </c>
      <c r="AF728" s="9" t="str">
        <f ca="1">IF(AND(Y728,AA728="ERREUR"),COUNTIF($AA$2:$AA728,"ERREUR"),"")</f>
        <v/>
      </c>
    </row>
    <row r="729" spans="23:32" ht="25" customHeight="1">
      <c r="W729" s="19">
        <f t="shared" ca="1" si="104"/>
        <v>45741</v>
      </c>
      <c r="X729" s="9" t="str">
        <f t="shared" ca="1" si="105"/>
        <v>25032025</v>
      </c>
      <c r="Y729" s="9" t="b">
        <f t="shared" ca="1" si="106"/>
        <v>0</v>
      </c>
      <c r="Z729" s="9" t="str">
        <f ca="1">IF(Y729,COUNTIF($Y$2:$Y729,TRUE),"")</f>
        <v/>
      </c>
      <c r="AA729" s="9" t="str">
        <f t="shared" ca="1" si="107"/>
        <v/>
      </c>
      <c r="AB729" s="9" t="str">
        <f t="shared" ca="1" si="108"/>
        <v/>
      </c>
      <c r="AC729" s="9" t="str">
        <f t="shared" ca="1" si="109"/>
        <v/>
      </c>
      <c r="AD729" s="9" t="str">
        <f t="shared" ca="1" si="110"/>
        <v/>
      </c>
      <c r="AE729" s="9" t="str">
        <f t="shared" ca="1" si="111"/>
        <v/>
      </c>
      <c r="AF729" s="9" t="str">
        <f ca="1">IF(AND(Y729,AA729="ERREUR"),COUNTIF($AA$2:$AA729,"ERREUR"),"")</f>
        <v/>
      </c>
    </row>
    <row r="730" spans="23:32" ht="25" customHeight="1">
      <c r="W730" s="19">
        <f t="shared" ca="1" si="104"/>
        <v>45740</v>
      </c>
      <c r="X730" s="9" t="str">
        <f t="shared" ca="1" si="105"/>
        <v>24032025</v>
      </c>
      <c r="Y730" s="9" t="b">
        <f t="shared" ca="1" si="106"/>
        <v>0</v>
      </c>
      <c r="Z730" s="9" t="str">
        <f ca="1">IF(Y730,COUNTIF($Y$2:$Y730,TRUE),"")</f>
        <v/>
      </c>
      <c r="AA730" s="9" t="str">
        <f t="shared" ca="1" si="107"/>
        <v/>
      </c>
      <c r="AB730" s="9" t="str">
        <f t="shared" ca="1" si="108"/>
        <v/>
      </c>
      <c r="AC730" s="9" t="str">
        <f t="shared" ca="1" si="109"/>
        <v/>
      </c>
      <c r="AD730" s="9" t="str">
        <f t="shared" ca="1" si="110"/>
        <v/>
      </c>
      <c r="AE730" s="9" t="str">
        <f t="shared" ca="1" si="111"/>
        <v/>
      </c>
      <c r="AF730" s="9" t="str">
        <f ca="1">IF(AND(Y730,AA730="ERREUR"),COUNTIF($AA$2:$AA730,"ERREUR"),"")</f>
        <v/>
      </c>
    </row>
    <row r="731" spans="23:32" ht="25" customHeight="1">
      <c r="W731" s="19">
        <f t="shared" ca="1" si="104"/>
        <v>45739</v>
      </c>
      <c r="X731" s="9" t="str">
        <f t="shared" ca="1" si="105"/>
        <v>23032025</v>
      </c>
      <c r="Y731" s="9" t="b">
        <f t="shared" ca="1" si="106"/>
        <v>0</v>
      </c>
      <c r="Z731" s="9" t="str">
        <f ca="1">IF(Y731,COUNTIF($Y$2:$Y731,TRUE),"")</f>
        <v/>
      </c>
      <c r="AA731" s="9" t="str">
        <f t="shared" ca="1" si="107"/>
        <v/>
      </c>
      <c r="AB731" s="9" t="str">
        <f t="shared" ca="1" si="108"/>
        <v/>
      </c>
      <c r="AC731" s="9" t="str">
        <f t="shared" ca="1" si="109"/>
        <v/>
      </c>
      <c r="AD731" s="9" t="str">
        <f t="shared" ca="1" si="110"/>
        <v/>
      </c>
      <c r="AE731" s="9" t="str">
        <f t="shared" ca="1" si="111"/>
        <v/>
      </c>
      <c r="AF731" s="9" t="str">
        <f ca="1">IF(AND(Y731,AA731="ERREUR"),COUNTIF($AA$2:$AA731,"ERREUR"),"")</f>
        <v/>
      </c>
    </row>
    <row r="732" spans="23:32" ht="25" customHeight="1">
      <c r="W732" s="19">
        <f t="shared" ca="1" si="104"/>
        <v>45738</v>
      </c>
      <c r="X732" s="9" t="str">
        <f t="shared" ca="1" si="105"/>
        <v>22032025</v>
      </c>
      <c r="Y732" s="9" t="b">
        <f t="shared" ca="1" si="106"/>
        <v>0</v>
      </c>
      <c r="Z732" s="9" t="str">
        <f ca="1">IF(Y732,COUNTIF($Y$2:$Y732,TRUE),"")</f>
        <v/>
      </c>
      <c r="AA732" s="9" t="str">
        <f t="shared" ca="1" si="107"/>
        <v/>
      </c>
      <c r="AB732" s="9" t="str">
        <f t="shared" ca="1" si="108"/>
        <v/>
      </c>
      <c r="AC732" s="9" t="str">
        <f t="shared" ca="1" si="109"/>
        <v/>
      </c>
      <c r="AD732" s="9" t="str">
        <f t="shared" ca="1" si="110"/>
        <v/>
      </c>
      <c r="AE732" s="9" t="str">
        <f t="shared" ca="1" si="111"/>
        <v/>
      </c>
      <c r="AF732" s="9" t="str">
        <f ca="1">IF(AND(Y732,AA732="ERREUR"),COUNTIF($AA$2:$AA732,"ERREUR"),"")</f>
        <v/>
      </c>
    </row>
    <row r="733" spans="23:32" ht="25" customHeight="1">
      <c r="W733" s="19">
        <f t="shared" ca="1" si="104"/>
        <v>45737</v>
      </c>
      <c r="X733" s="9" t="str">
        <f t="shared" ca="1" si="105"/>
        <v>21032025</v>
      </c>
      <c r="Y733" s="9" t="b">
        <f t="shared" ca="1" si="106"/>
        <v>0</v>
      </c>
      <c r="Z733" s="9" t="str">
        <f ca="1">IF(Y733,COUNTIF($Y$2:$Y733,TRUE),"")</f>
        <v/>
      </c>
      <c r="AA733" s="9" t="str">
        <f t="shared" ca="1" si="107"/>
        <v/>
      </c>
      <c r="AB733" s="9" t="str">
        <f t="shared" ca="1" si="108"/>
        <v/>
      </c>
      <c r="AC733" s="9" t="str">
        <f t="shared" ca="1" si="109"/>
        <v/>
      </c>
      <c r="AD733" s="9" t="str">
        <f t="shared" ca="1" si="110"/>
        <v/>
      </c>
      <c r="AE733" s="9" t="str">
        <f t="shared" ca="1" si="111"/>
        <v/>
      </c>
      <c r="AF733" s="9" t="str">
        <f ca="1">IF(AND(Y733,AA733="ERREUR"),COUNTIF($AA$2:$AA733,"ERREUR"),"")</f>
        <v/>
      </c>
    </row>
    <row r="734" spans="23:32" ht="25" customHeight="1">
      <c r="W734" s="19">
        <f t="shared" ca="1" si="104"/>
        <v>45736</v>
      </c>
      <c r="X734" s="9" t="str">
        <f t="shared" ca="1" si="105"/>
        <v>20032025</v>
      </c>
      <c r="Y734" s="9" t="b">
        <f t="shared" ca="1" si="106"/>
        <v>0</v>
      </c>
      <c r="Z734" s="9" t="str">
        <f ca="1">IF(Y734,COUNTIF($Y$2:$Y734,TRUE),"")</f>
        <v/>
      </c>
      <c r="AA734" s="9" t="str">
        <f t="shared" ca="1" si="107"/>
        <v/>
      </c>
      <c r="AB734" s="9" t="str">
        <f t="shared" ca="1" si="108"/>
        <v/>
      </c>
      <c r="AC734" s="9" t="str">
        <f t="shared" ca="1" si="109"/>
        <v/>
      </c>
      <c r="AD734" s="9" t="str">
        <f t="shared" ca="1" si="110"/>
        <v/>
      </c>
      <c r="AE734" s="9" t="str">
        <f t="shared" ca="1" si="111"/>
        <v/>
      </c>
      <c r="AF734" s="9" t="str">
        <f ca="1">IF(AND(Y734,AA734="ERREUR"),COUNTIF($AA$2:$AA734,"ERREUR"),"")</f>
        <v/>
      </c>
    </row>
    <row r="735" spans="23:32" ht="25" customHeight="1">
      <c r="W735" s="19">
        <f t="shared" ca="1" si="104"/>
        <v>45735</v>
      </c>
      <c r="X735" s="9" t="str">
        <f t="shared" ca="1" si="105"/>
        <v>19032025</v>
      </c>
      <c r="Y735" s="9" t="b">
        <f t="shared" ca="1" si="106"/>
        <v>0</v>
      </c>
      <c r="Z735" s="9" t="str">
        <f ca="1">IF(Y735,COUNTIF($Y$2:$Y735,TRUE),"")</f>
        <v/>
      </c>
      <c r="AA735" s="9" t="str">
        <f t="shared" ca="1" si="107"/>
        <v/>
      </c>
      <c r="AB735" s="9" t="str">
        <f t="shared" ca="1" si="108"/>
        <v/>
      </c>
      <c r="AC735" s="9" t="str">
        <f t="shared" ca="1" si="109"/>
        <v/>
      </c>
      <c r="AD735" s="9" t="str">
        <f t="shared" ca="1" si="110"/>
        <v/>
      </c>
      <c r="AE735" s="9" t="str">
        <f t="shared" ca="1" si="111"/>
        <v/>
      </c>
      <c r="AF735" s="9" t="str">
        <f ca="1">IF(AND(Y735,AA735="ERREUR"),COUNTIF($AA$2:$AA735,"ERREUR"),"")</f>
        <v/>
      </c>
    </row>
    <row r="736" spans="23:32" ht="25" customHeight="1">
      <c r="W736" s="19">
        <f t="shared" ca="1" si="104"/>
        <v>45734</v>
      </c>
      <c r="X736" s="9" t="str">
        <f t="shared" ca="1" si="105"/>
        <v>18032025</v>
      </c>
      <c r="Y736" s="9" t="b">
        <f t="shared" ca="1" si="106"/>
        <v>0</v>
      </c>
      <c r="Z736" s="9" t="str">
        <f ca="1">IF(Y736,COUNTIF($Y$2:$Y736,TRUE),"")</f>
        <v/>
      </c>
      <c r="AA736" s="9" t="str">
        <f t="shared" ca="1" si="107"/>
        <v/>
      </c>
      <c r="AB736" s="9" t="str">
        <f t="shared" ca="1" si="108"/>
        <v/>
      </c>
      <c r="AC736" s="9" t="str">
        <f t="shared" ca="1" si="109"/>
        <v/>
      </c>
      <c r="AD736" s="9" t="str">
        <f t="shared" ca="1" si="110"/>
        <v/>
      </c>
      <c r="AE736" s="9" t="str">
        <f t="shared" ca="1" si="111"/>
        <v/>
      </c>
      <c r="AF736" s="9" t="str">
        <f ca="1">IF(AND(Y736,AA736="ERREUR"),COUNTIF($AA$2:$AA736,"ERREUR"),"")</f>
        <v/>
      </c>
    </row>
    <row r="737" spans="23:32" ht="25" customHeight="1">
      <c r="W737" s="19">
        <f t="shared" ca="1" si="104"/>
        <v>45733</v>
      </c>
      <c r="X737" s="9" t="str">
        <f t="shared" ca="1" si="105"/>
        <v>17032025</v>
      </c>
      <c r="Y737" s="9" t="b">
        <f t="shared" ca="1" si="106"/>
        <v>0</v>
      </c>
      <c r="Z737" s="9" t="str">
        <f ca="1">IF(Y737,COUNTIF($Y$2:$Y737,TRUE),"")</f>
        <v/>
      </c>
      <c r="AA737" s="9" t="str">
        <f t="shared" ca="1" si="107"/>
        <v/>
      </c>
      <c r="AB737" s="9" t="str">
        <f t="shared" ca="1" si="108"/>
        <v/>
      </c>
      <c r="AC737" s="9" t="str">
        <f t="shared" ca="1" si="109"/>
        <v/>
      </c>
      <c r="AD737" s="9" t="str">
        <f t="shared" ca="1" si="110"/>
        <v/>
      </c>
      <c r="AE737" s="9" t="str">
        <f t="shared" ca="1" si="111"/>
        <v/>
      </c>
      <c r="AF737" s="9" t="str">
        <f ca="1">IF(AND(Y737,AA737="ERREUR"),COUNTIF($AA$2:$AA737,"ERREUR"),"")</f>
        <v/>
      </c>
    </row>
    <row r="738" spans="23:32" ht="25" customHeight="1">
      <c r="W738" s="19">
        <f t="shared" ca="1" si="104"/>
        <v>45732</v>
      </c>
      <c r="X738" s="9" t="str">
        <f t="shared" ca="1" si="105"/>
        <v>16032025</v>
      </c>
      <c r="Y738" s="9" t="b">
        <f t="shared" ca="1" si="106"/>
        <v>0</v>
      </c>
      <c r="Z738" s="9" t="str">
        <f ca="1">IF(Y738,COUNTIF($Y$2:$Y738,TRUE),"")</f>
        <v/>
      </c>
      <c r="AA738" s="9" t="str">
        <f t="shared" ca="1" si="107"/>
        <v/>
      </c>
      <c r="AB738" s="9" t="str">
        <f t="shared" ca="1" si="108"/>
        <v/>
      </c>
      <c r="AC738" s="9" t="str">
        <f t="shared" ca="1" si="109"/>
        <v/>
      </c>
      <c r="AD738" s="9" t="str">
        <f t="shared" ca="1" si="110"/>
        <v/>
      </c>
      <c r="AE738" s="9" t="str">
        <f t="shared" ca="1" si="111"/>
        <v/>
      </c>
      <c r="AF738" s="9" t="str">
        <f ca="1">IF(AND(Y738,AA738="ERREUR"),COUNTIF($AA$2:$AA738,"ERREUR"),"")</f>
        <v/>
      </c>
    </row>
    <row r="739" spans="23:32" ht="25" customHeight="1">
      <c r="W739" s="19">
        <f t="shared" ca="1" si="104"/>
        <v>45731</v>
      </c>
      <c r="X739" s="9" t="str">
        <f t="shared" ca="1" si="105"/>
        <v>15032025</v>
      </c>
      <c r="Y739" s="9" t="b">
        <f t="shared" ca="1" si="106"/>
        <v>0</v>
      </c>
      <c r="Z739" s="9" t="str">
        <f ca="1">IF(Y739,COUNTIF($Y$2:$Y739,TRUE),"")</f>
        <v/>
      </c>
      <c r="AA739" s="9" t="str">
        <f t="shared" ca="1" si="107"/>
        <v/>
      </c>
      <c r="AB739" s="9" t="str">
        <f t="shared" ca="1" si="108"/>
        <v/>
      </c>
      <c r="AC739" s="9" t="str">
        <f t="shared" ca="1" si="109"/>
        <v/>
      </c>
      <c r="AD739" s="9" t="str">
        <f t="shared" ca="1" si="110"/>
        <v/>
      </c>
      <c r="AE739" s="9" t="str">
        <f t="shared" ca="1" si="111"/>
        <v/>
      </c>
      <c r="AF739" s="9" t="str">
        <f ca="1">IF(AND(Y739,AA739="ERREUR"),COUNTIF($AA$2:$AA739,"ERREUR"),"")</f>
        <v/>
      </c>
    </row>
    <row r="740" spans="23:32" ht="25" customHeight="1">
      <c r="W740" s="19">
        <f t="shared" ca="1" si="104"/>
        <v>45730</v>
      </c>
      <c r="X740" s="9" t="str">
        <f t="shared" ca="1" si="105"/>
        <v>14032025</v>
      </c>
      <c r="Y740" s="9" t="b">
        <f t="shared" ca="1" si="106"/>
        <v>0</v>
      </c>
      <c r="Z740" s="9" t="str">
        <f ca="1">IF(Y740,COUNTIF($Y$2:$Y740,TRUE),"")</f>
        <v/>
      </c>
      <c r="AA740" s="9" t="str">
        <f t="shared" ca="1" si="107"/>
        <v/>
      </c>
      <c r="AB740" s="9" t="str">
        <f t="shared" ca="1" si="108"/>
        <v/>
      </c>
      <c r="AC740" s="9" t="str">
        <f t="shared" ca="1" si="109"/>
        <v/>
      </c>
      <c r="AD740" s="9" t="str">
        <f t="shared" ca="1" si="110"/>
        <v/>
      </c>
      <c r="AE740" s="9" t="str">
        <f t="shared" ca="1" si="111"/>
        <v/>
      </c>
      <c r="AF740" s="9" t="str">
        <f ca="1">IF(AND(Y740,AA740="ERREUR"),COUNTIF($AA$2:$AA740,"ERREUR"),"")</f>
        <v/>
      </c>
    </row>
    <row r="741" spans="23:32" ht="25" customHeight="1">
      <c r="W741" s="19">
        <f t="shared" ca="1" si="104"/>
        <v>45729</v>
      </c>
      <c r="X741" s="9" t="str">
        <f t="shared" ca="1" si="105"/>
        <v>13032025</v>
      </c>
      <c r="Y741" s="9" t="b">
        <f t="shared" ca="1" si="106"/>
        <v>0</v>
      </c>
      <c r="Z741" s="9" t="str">
        <f ca="1">IF(Y741,COUNTIF($Y$2:$Y741,TRUE),"")</f>
        <v/>
      </c>
      <c r="AA741" s="9" t="str">
        <f t="shared" ca="1" si="107"/>
        <v/>
      </c>
      <c r="AB741" s="9" t="str">
        <f t="shared" ca="1" si="108"/>
        <v/>
      </c>
      <c r="AC741" s="9" t="str">
        <f t="shared" ca="1" si="109"/>
        <v/>
      </c>
      <c r="AD741" s="9" t="str">
        <f t="shared" ca="1" si="110"/>
        <v/>
      </c>
      <c r="AE741" s="9" t="str">
        <f t="shared" ca="1" si="111"/>
        <v/>
      </c>
      <c r="AF741" s="9" t="str">
        <f ca="1">IF(AND(Y741,AA741="ERREUR"),COUNTIF($AA$2:$AA741,"ERREUR"),"")</f>
        <v/>
      </c>
    </row>
    <row r="742" spans="23:32" ht="25" customHeight="1">
      <c r="W742" s="19">
        <f t="shared" ca="1" si="104"/>
        <v>45728</v>
      </c>
      <c r="X742" s="9" t="str">
        <f t="shared" ca="1" si="105"/>
        <v>12032025</v>
      </c>
      <c r="Y742" s="9" t="b">
        <f t="shared" ca="1" si="106"/>
        <v>0</v>
      </c>
      <c r="Z742" s="9" t="str">
        <f ca="1">IF(Y742,COUNTIF($Y$2:$Y742,TRUE),"")</f>
        <v/>
      </c>
      <c r="AA742" s="9" t="str">
        <f t="shared" ca="1" si="107"/>
        <v/>
      </c>
      <c r="AB742" s="9" t="str">
        <f t="shared" ca="1" si="108"/>
        <v/>
      </c>
      <c r="AC742" s="9" t="str">
        <f t="shared" ca="1" si="109"/>
        <v/>
      </c>
      <c r="AD742" s="9" t="str">
        <f t="shared" ca="1" si="110"/>
        <v/>
      </c>
      <c r="AE742" s="9" t="str">
        <f t="shared" ca="1" si="111"/>
        <v/>
      </c>
      <c r="AF742" s="9" t="str">
        <f ca="1">IF(AND(Y742,AA742="ERREUR"),COUNTIF($AA$2:$AA742,"ERREUR"),"")</f>
        <v/>
      </c>
    </row>
    <row r="743" spans="23:32" ht="25" customHeight="1">
      <c r="W743" s="19">
        <f t="shared" ca="1" si="104"/>
        <v>45727</v>
      </c>
      <c r="X743" s="9" t="str">
        <f t="shared" ca="1" si="105"/>
        <v>11032025</v>
      </c>
      <c r="Y743" s="9" t="b">
        <f t="shared" ca="1" si="106"/>
        <v>0</v>
      </c>
      <c r="Z743" s="9" t="str">
        <f ca="1">IF(Y743,COUNTIF($Y$2:$Y743,TRUE),"")</f>
        <v/>
      </c>
      <c r="AA743" s="9" t="str">
        <f t="shared" ca="1" si="107"/>
        <v/>
      </c>
      <c r="AB743" s="9" t="str">
        <f t="shared" ca="1" si="108"/>
        <v/>
      </c>
      <c r="AC743" s="9" t="str">
        <f t="shared" ca="1" si="109"/>
        <v/>
      </c>
      <c r="AD743" s="9" t="str">
        <f t="shared" ca="1" si="110"/>
        <v/>
      </c>
      <c r="AE743" s="9" t="str">
        <f t="shared" ca="1" si="111"/>
        <v/>
      </c>
      <c r="AF743" s="9" t="str">
        <f ca="1">IF(AND(Y743,AA743="ERREUR"),COUNTIF($AA$2:$AA743,"ERREUR"),"")</f>
        <v/>
      </c>
    </row>
    <row r="744" spans="23:32" ht="25" customHeight="1">
      <c r="W744" s="19">
        <f t="shared" ca="1" si="104"/>
        <v>45726</v>
      </c>
      <c r="X744" s="9" t="str">
        <f t="shared" ca="1" si="105"/>
        <v>10032025</v>
      </c>
      <c r="Y744" s="9" t="b">
        <f t="shared" ca="1" si="106"/>
        <v>0</v>
      </c>
      <c r="Z744" s="9" t="str">
        <f ca="1">IF(Y744,COUNTIF($Y$2:$Y744,TRUE),"")</f>
        <v/>
      </c>
      <c r="AA744" s="9" t="str">
        <f t="shared" ca="1" si="107"/>
        <v/>
      </c>
      <c r="AB744" s="9" t="str">
        <f t="shared" ca="1" si="108"/>
        <v/>
      </c>
      <c r="AC744" s="9" t="str">
        <f t="shared" ca="1" si="109"/>
        <v/>
      </c>
      <c r="AD744" s="9" t="str">
        <f t="shared" ca="1" si="110"/>
        <v/>
      </c>
      <c r="AE744" s="9" t="str">
        <f t="shared" ca="1" si="111"/>
        <v/>
      </c>
      <c r="AF744" s="9" t="str">
        <f ca="1">IF(AND(Y744,AA744="ERREUR"),COUNTIF($AA$2:$AA744,"ERREUR"),"")</f>
        <v/>
      </c>
    </row>
    <row r="745" spans="23:32" ht="25" customHeight="1">
      <c r="W745" s="19">
        <f t="shared" ca="1" si="104"/>
        <v>45725</v>
      </c>
      <c r="X745" s="9" t="str">
        <f t="shared" ca="1" si="105"/>
        <v>09032025</v>
      </c>
      <c r="Y745" s="9" t="b">
        <f t="shared" ca="1" si="106"/>
        <v>0</v>
      </c>
      <c r="Z745" s="9" t="str">
        <f ca="1">IF(Y745,COUNTIF($Y$2:$Y745,TRUE),"")</f>
        <v/>
      </c>
      <c r="AA745" s="9" t="str">
        <f t="shared" ca="1" si="107"/>
        <v/>
      </c>
      <c r="AB745" s="9" t="str">
        <f t="shared" ca="1" si="108"/>
        <v/>
      </c>
      <c r="AC745" s="9" t="str">
        <f t="shared" ca="1" si="109"/>
        <v/>
      </c>
      <c r="AD745" s="9" t="str">
        <f t="shared" ca="1" si="110"/>
        <v/>
      </c>
      <c r="AE745" s="9" t="str">
        <f t="shared" ca="1" si="111"/>
        <v/>
      </c>
      <c r="AF745" s="9" t="str">
        <f ca="1">IF(AND(Y745,AA745="ERREUR"),COUNTIF($AA$2:$AA745,"ERREUR"),"")</f>
        <v/>
      </c>
    </row>
    <row r="746" spans="23:32" ht="25" customHeight="1">
      <c r="W746" s="19">
        <f t="shared" ca="1" si="104"/>
        <v>45724</v>
      </c>
      <c r="X746" s="9" t="str">
        <f t="shared" ca="1" si="105"/>
        <v>08032025</v>
      </c>
      <c r="Y746" s="9" t="b">
        <f t="shared" ca="1" si="106"/>
        <v>0</v>
      </c>
      <c r="Z746" s="9" t="str">
        <f ca="1">IF(Y746,COUNTIF($Y$2:$Y746,TRUE),"")</f>
        <v/>
      </c>
      <c r="AA746" s="9" t="str">
        <f t="shared" ca="1" si="107"/>
        <v/>
      </c>
      <c r="AB746" s="9" t="str">
        <f t="shared" ca="1" si="108"/>
        <v/>
      </c>
      <c r="AC746" s="9" t="str">
        <f t="shared" ca="1" si="109"/>
        <v/>
      </c>
      <c r="AD746" s="9" t="str">
        <f t="shared" ca="1" si="110"/>
        <v/>
      </c>
      <c r="AE746" s="9" t="str">
        <f t="shared" ca="1" si="111"/>
        <v/>
      </c>
      <c r="AF746" s="9" t="str">
        <f ca="1">IF(AND(Y746,AA746="ERREUR"),COUNTIF($AA$2:$AA746,"ERREUR"),"")</f>
        <v/>
      </c>
    </row>
    <row r="747" spans="23:32" ht="25" customHeight="1">
      <c r="W747" s="19">
        <f t="shared" ca="1" si="104"/>
        <v>45723</v>
      </c>
      <c r="X747" s="9" t="str">
        <f t="shared" ca="1" si="105"/>
        <v>07032025</v>
      </c>
      <c r="Y747" s="9" t="b">
        <f t="shared" ca="1" si="106"/>
        <v>0</v>
      </c>
      <c r="Z747" s="9" t="str">
        <f ca="1">IF(Y747,COUNTIF($Y$2:$Y747,TRUE),"")</f>
        <v/>
      </c>
      <c r="AA747" s="9" t="str">
        <f t="shared" ca="1" si="107"/>
        <v/>
      </c>
      <c r="AB747" s="9" t="str">
        <f t="shared" ca="1" si="108"/>
        <v/>
      </c>
      <c r="AC747" s="9" t="str">
        <f t="shared" ca="1" si="109"/>
        <v/>
      </c>
      <c r="AD747" s="9" t="str">
        <f t="shared" ca="1" si="110"/>
        <v/>
      </c>
      <c r="AE747" s="9" t="str">
        <f t="shared" ca="1" si="111"/>
        <v/>
      </c>
      <c r="AF747" s="9" t="str">
        <f ca="1">IF(AND(Y747,AA747="ERREUR"),COUNTIF($AA$2:$AA747,"ERREUR"),"")</f>
        <v/>
      </c>
    </row>
    <row r="748" spans="23:32" ht="25" customHeight="1">
      <c r="W748" s="19">
        <f t="shared" ca="1" si="104"/>
        <v>45722</v>
      </c>
      <c r="X748" s="9" t="str">
        <f t="shared" ca="1" si="105"/>
        <v>06032025</v>
      </c>
      <c r="Y748" s="9" t="b">
        <f t="shared" ca="1" si="106"/>
        <v>0</v>
      </c>
      <c r="Z748" s="9" t="str">
        <f ca="1">IF(Y748,COUNTIF($Y$2:$Y748,TRUE),"")</f>
        <v/>
      </c>
      <c r="AA748" s="9" t="str">
        <f t="shared" ca="1" si="107"/>
        <v/>
      </c>
      <c r="AB748" s="9" t="str">
        <f t="shared" ca="1" si="108"/>
        <v/>
      </c>
      <c r="AC748" s="9" t="str">
        <f t="shared" ca="1" si="109"/>
        <v/>
      </c>
      <c r="AD748" s="9" t="str">
        <f t="shared" ca="1" si="110"/>
        <v/>
      </c>
      <c r="AE748" s="9" t="str">
        <f t="shared" ca="1" si="111"/>
        <v/>
      </c>
      <c r="AF748" s="9" t="str">
        <f ca="1">IF(AND(Y748,AA748="ERREUR"),COUNTIF($AA$2:$AA748,"ERREUR"),"")</f>
        <v/>
      </c>
    </row>
    <row r="749" spans="23:32" ht="25" customHeight="1">
      <c r="W749" s="19">
        <f t="shared" ca="1" si="104"/>
        <v>45721</v>
      </c>
      <c r="X749" s="9" t="str">
        <f t="shared" ca="1" si="105"/>
        <v>05032025</v>
      </c>
      <c r="Y749" s="9" t="b">
        <f t="shared" ca="1" si="106"/>
        <v>0</v>
      </c>
      <c r="Z749" s="9" t="str">
        <f ca="1">IF(Y749,COUNTIF($Y$2:$Y749,TRUE),"")</f>
        <v/>
      </c>
      <c r="AA749" s="9" t="str">
        <f t="shared" ca="1" si="107"/>
        <v/>
      </c>
      <c r="AB749" s="9" t="str">
        <f t="shared" ca="1" si="108"/>
        <v/>
      </c>
      <c r="AC749" s="9" t="str">
        <f t="shared" ca="1" si="109"/>
        <v/>
      </c>
      <c r="AD749" s="9" t="str">
        <f t="shared" ca="1" si="110"/>
        <v/>
      </c>
      <c r="AE749" s="9" t="str">
        <f t="shared" ca="1" si="111"/>
        <v/>
      </c>
      <c r="AF749" s="9" t="str">
        <f ca="1">IF(AND(Y749,AA749="ERREUR"),COUNTIF($AA$2:$AA749,"ERREUR"),"")</f>
        <v/>
      </c>
    </row>
    <row r="750" spans="23:32" ht="25" customHeight="1">
      <c r="W750" s="19">
        <f t="shared" ca="1" si="104"/>
        <v>45720</v>
      </c>
      <c r="X750" s="9" t="str">
        <f t="shared" ca="1" si="105"/>
        <v>04032025</v>
      </c>
      <c r="Y750" s="9" t="b">
        <f t="shared" ca="1" si="106"/>
        <v>0</v>
      </c>
      <c r="Z750" s="9" t="str">
        <f ca="1">IF(Y750,COUNTIF($Y$2:$Y750,TRUE),"")</f>
        <v/>
      </c>
      <c r="AA750" s="9" t="str">
        <f t="shared" ca="1" si="107"/>
        <v/>
      </c>
      <c r="AB750" s="9" t="str">
        <f t="shared" ca="1" si="108"/>
        <v/>
      </c>
      <c r="AC750" s="9" t="str">
        <f t="shared" ca="1" si="109"/>
        <v/>
      </c>
      <c r="AD750" s="9" t="str">
        <f t="shared" ca="1" si="110"/>
        <v/>
      </c>
      <c r="AE750" s="9" t="str">
        <f t="shared" ca="1" si="111"/>
        <v/>
      </c>
      <c r="AF750" s="9" t="str">
        <f ca="1">IF(AND(Y750,AA750="ERREUR"),COUNTIF($AA$2:$AA750,"ERREUR"),"")</f>
        <v/>
      </c>
    </row>
    <row r="751" spans="23:32" ht="25" customHeight="1">
      <c r="W751" s="19">
        <f t="shared" ca="1" si="104"/>
        <v>45719</v>
      </c>
      <c r="X751" s="9" t="str">
        <f t="shared" ca="1" si="105"/>
        <v>03032025</v>
      </c>
      <c r="Y751" s="9" t="b">
        <f t="shared" ca="1" si="106"/>
        <v>0</v>
      </c>
      <c r="Z751" s="9" t="str">
        <f ca="1">IF(Y751,COUNTIF($Y$2:$Y751,TRUE),"")</f>
        <v/>
      </c>
      <c r="AA751" s="9" t="str">
        <f t="shared" ca="1" si="107"/>
        <v/>
      </c>
      <c r="AB751" s="9" t="str">
        <f t="shared" ca="1" si="108"/>
        <v/>
      </c>
      <c r="AC751" s="9" t="str">
        <f t="shared" ca="1" si="109"/>
        <v/>
      </c>
      <c r="AD751" s="9" t="str">
        <f t="shared" ca="1" si="110"/>
        <v/>
      </c>
      <c r="AE751" s="9" t="str">
        <f t="shared" ca="1" si="111"/>
        <v/>
      </c>
      <c r="AF751" s="9" t="str">
        <f ca="1">IF(AND(Y751,AA751="ERREUR"),COUNTIF($AA$2:$AA751,"ERREUR"),"")</f>
        <v/>
      </c>
    </row>
    <row r="752" spans="23:32" ht="25" customHeight="1">
      <c r="W752" s="19">
        <f t="shared" ca="1" si="104"/>
        <v>45718</v>
      </c>
      <c r="X752" s="9" t="str">
        <f t="shared" ca="1" si="105"/>
        <v>02032025</v>
      </c>
      <c r="Y752" s="9" t="b">
        <f t="shared" ca="1" si="106"/>
        <v>0</v>
      </c>
      <c r="Z752" s="9" t="str">
        <f ca="1">IF(Y752,COUNTIF($Y$2:$Y752,TRUE),"")</f>
        <v/>
      </c>
      <c r="AA752" s="9" t="str">
        <f t="shared" ca="1" si="107"/>
        <v/>
      </c>
      <c r="AB752" s="9" t="str">
        <f t="shared" ca="1" si="108"/>
        <v/>
      </c>
      <c r="AC752" s="9" t="str">
        <f t="shared" ca="1" si="109"/>
        <v/>
      </c>
      <c r="AD752" s="9" t="str">
        <f t="shared" ca="1" si="110"/>
        <v/>
      </c>
      <c r="AE752" s="9" t="str">
        <f t="shared" ca="1" si="111"/>
        <v/>
      </c>
      <c r="AF752" s="9" t="str">
        <f ca="1">IF(AND(Y752,AA752="ERREUR"),COUNTIF($AA$2:$AA752,"ERREUR"),"")</f>
        <v/>
      </c>
    </row>
    <row r="753" spans="23:32" ht="25" customHeight="1">
      <c r="W753" s="19">
        <f t="shared" ca="1" si="104"/>
        <v>45717</v>
      </c>
      <c r="X753" s="9" t="str">
        <f t="shared" ca="1" si="105"/>
        <v>01032025</v>
      </c>
      <c r="Y753" s="9" t="b">
        <f t="shared" ca="1" si="106"/>
        <v>0</v>
      </c>
      <c r="Z753" s="9" t="str">
        <f ca="1">IF(Y753,COUNTIF($Y$2:$Y753,TRUE),"")</f>
        <v/>
      </c>
      <c r="AA753" s="9" t="str">
        <f t="shared" ca="1" si="107"/>
        <v/>
      </c>
      <c r="AB753" s="9" t="str">
        <f t="shared" ca="1" si="108"/>
        <v/>
      </c>
      <c r="AC753" s="9" t="str">
        <f t="shared" ca="1" si="109"/>
        <v/>
      </c>
      <c r="AD753" s="9" t="str">
        <f t="shared" ca="1" si="110"/>
        <v/>
      </c>
      <c r="AE753" s="9" t="str">
        <f t="shared" ca="1" si="111"/>
        <v/>
      </c>
      <c r="AF753" s="9" t="str">
        <f ca="1">IF(AND(Y753,AA753="ERREUR"),COUNTIF($AA$2:$AA753,"ERREUR"),"")</f>
        <v/>
      </c>
    </row>
    <row r="754" spans="23:32" ht="25" customHeight="1">
      <c r="W754" s="19">
        <f t="shared" ca="1" si="104"/>
        <v>45716</v>
      </c>
      <c r="X754" s="9" t="str">
        <f t="shared" ca="1" si="105"/>
        <v>28022025</v>
      </c>
      <c r="Y754" s="9" t="b">
        <f t="shared" ca="1" si="106"/>
        <v>0</v>
      </c>
      <c r="Z754" s="9" t="str">
        <f ca="1">IF(Y754,COUNTIF($Y$2:$Y754,TRUE),"")</f>
        <v/>
      </c>
      <c r="AA754" s="9" t="str">
        <f t="shared" ca="1" si="107"/>
        <v/>
      </c>
      <c r="AB754" s="9" t="str">
        <f t="shared" ca="1" si="108"/>
        <v/>
      </c>
      <c r="AC754" s="9" t="str">
        <f t="shared" ca="1" si="109"/>
        <v/>
      </c>
      <c r="AD754" s="9" t="str">
        <f t="shared" ca="1" si="110"/>
        <v/>
      </c>
      <c r="AE754" s="9" t="str">
        <f t="shared" ca="1" si="111"/>
        <v/>
      </c>
      <c r="AF754" s="9" t="str">
        <f ca="1">IF(AND(Y754,AA754="ERREUR"),COUNTIF($AA$2:$AA754,"ERREUR"),"")</f>
        <v/>
      </c>
    </row>
    <row r="755" spans="23:32" ht="25" customHeight="1">
      <c r="W755" s="19">
        <f t="shared" ca="1" si="104"/>
        <v>45715</v>
      </c>
      <c r="X755" s="9" t="str">
        <f t="shared" ca="1" si="105"/>
        <v>27022025</v>
      </c>
      <c r="Y755" s="9" t="b">
        <f t="shared" ca="1" si="106"/>
        <v>0</v>
      </c>
      <c r="Z755" s="9" t="str">
        <f ca="1">IF(Y755,COUNTIF($Y$2:$Y755,TRUE),"")</f>
        <v/>
      </c>
      <c r="AA755" s="9" t="str">
        <f t="shared" ca="1" si="107"/>
        <v/>
      </c>
      <c r="AB755" s="9" t="str">
        <f t="shared" ca="1" si="108"/>
        <v/>
      </c>
      <c r="AC755" s="9" t="str">
        <f t="shared" ca="1" si="109"/>
        <v/>
      </c>
      <c r="AD755" s="9" t="str">
        <f t="shared" ca="1" si="110"/>
        <v/>
      </c>
      <c r="AE755" s="9" t="str">
        <f t="shared" ca="1" si="111"/>
        <v/>
      </c>
      <c r="AF755" s="9" t="str">
        <f ca="1">IF(AND(Y755,AA755="ERREUR"),COUNTIF($AA$2:$AA755,"ERREUR"),"")</f>
        <v/>
      </c>
    </row>
    <row r="756" spans="23:32" ht="25" customHeight="1">
      <c r="W756" s="19">
        <f t="shared" ca="1" si="104"/>
        <v>45714</v>
      </c>
      <c r="X756" s="9" t="str">
        <f t="shared" ca="1" si="105"/>
        <v>26022025</v>
      </c>
      <c r="Y756" s="9" t="b">
        <f t="shared" ca="1" si="106"/>
        <v>0</v>
      </c>
      <c r="Z756" s="9" t="str">
        <f ca="1">IF(Y756,COUNTIF($Y$2:$Y756,TRUE),"")</f>
        <v/>
      </c>
      <c r="AA756" s="9" t="str">
        <f t="shared" ca="1" si="107"/>
        <v/>
      </c>
      <c r="AB756" s="9" t="str">
        <f t="shared" ca="1" si="108"/>
        <v/>
      </c>
      <c r="AC756" s="9" t="str">
        <f t="shared" ca="1" si="109"/>
        <v/>
      </c>
      <c r="AD756" s="9" t="str">
        <f t="shared" ca="1" si="110"/>
        <v/>
      </c>
      <c r="AE756" s="9" t="str">
        <f t="shared" ca="1" si="111"/>
        <v/>
      </c>
      <c r="AF756" s="9" t="str">
        <f ca="1">IF(AND(Y756,AA756="ERREUR"),COUNTIF($AA$2:$AA756,"ERREUR"),"")</f>
        <v/>
      </c>
    </row>
    <row r="757" spans="23:32" ht="25" customHeight="1">
      <c r="W757" s="19">
        <f t="shared" ca="1" si="104"/>
        <v>45713</v>
      </c>
      <c r="X757" s="9" t="str">
        <f t="shared" ca="1" si="105"/>
        <v>25022025</v>
      </c>
      <c r="Y757" s="9" t="b">
        <f t="shared" ca="1" si="106"/>
        <v>0</v>
      </c>
      <c r="Z757" s="9" t="str">
        <f ca="1">IF(Y757,COUNTIF($Y$2:$Y757,TRUE),"")</f>
        <v/>
      </c>
      <c r="AA757" s="9" t="str">
        <f t="shared" ca="1" si="107"/>
        <v/>
      </c>
      <c r="AB757" s="9" t="str">
        <f t="shared" ca="1" si="108"/>
        <v/>
      </c>
      <c r="AC757" s="9" t="str">
        <f t="shared" ca="1" si="109"/>
        <v/>
      </c>
      <c r="AD757" s="9" t="str">
        <f t="shared" ca="1" si="110"/>
        <v/>
      </c>
      <c r="AE757" s="9" t="str">
        <f t="shared" ca="1" si="111"/>
        <v/>
      </c>
      <c r="AF757" s="9" t="str">
        <f ca="1">IF(AND(Y757,AA757="ERREUR"),COUNTIF($AA$2:$AA757,"ERREUR"),"")</f>
        <v/>
      </c>
    </row>
    <row r="758" spans="23:32" ht="25" customHeight="1">
      <c r="W758" s="19">
        <f t="shared" ca="1" si="104"/>
        <v>45712</v>
      </c>
      <c r="X758" s="9" t="str">
        <f t="shared" ca="1" si="105"/>
        <v>24022025</v>
      </c>
      <c r="Y758" s="9" t="b">
        <f t="shared" ca="1" si="106"/>
        <v>0</v>
      </c>
      <c r="Z758" s="9" t="str">
        <f ca="1">IF(Y758,COUNTIF($Y$2:$Y758,TRUE),"")</f>
        <v/>
      </c>
      <c r="AA758" s="9" t="str">
        <f t="shared" ca="1" si="107"/>
        <v/>
      </c>
      <c r="AB758" s="9" t="str">
        <f t="shared" ca="1" si="108"/>
        <v/>
      </c>
      <c r="AC758" s="9" t="str">
        <f t="shared" ca="1" si="109"/>
        <v/>
      </c>
      <c r="AD758" s="9" t="str">
        <f t="shared" ca="1" si="110"/>
        <v/>
      </c>
      <c r="AE758" s="9" t="str">
        <f t="shared" ca="1" si="111"/>
        <v/>
      </c>
      <c r="AF758" s="9" t="str">
        <f ca="1">IF(AND(Y758,AA758="ERREUR"),COUNTIF($AA$2:$AA758,"ERREUR"),"")</f>
        <v/>
      </c>
    </row>
    <row r="759" spans="23:32" ht="25" customHeight="1">
      <c r="W759" s="19">
        <f t="shared" ca="1" si="104"/>
        <v>45711</v>
      </c>
      <c r="X759" s="9" t="str">
        <f t="shared" ca="1" si="105"/>
        <v>23022025</v>
      </c>
      <c r="Y759" s="9" t="b">
        <f t="shared" ca="1" si="106"/>
        <v>0</v>
      </c>
      <c r="Z759" s="9" t="str">
        <f ca="1">IF(Y759,COUNTIF($Y$2:$Y759,TRUE),"")</f>
        <v/>
      </c>
      <c r="AA759" s="9" t="str">
        <f t="shared" ca="1" si="107"/>
        <v/>
      </c>
      <c r="AB759" s="9" t="str">
        <f t="shared" ca="1" si="108"/>
        <v/>
      </c>
      <c r="AC759" s="9" t="str">
        <f t="shared" ca="1" si="109"/>
        <v/>
      </c>
      <c r="AD759" s="9" t="str">
        <f t="shared" ca="1" si="110"/>
        <v/>
      </c>
      <c r="AE759" s="9" t="str">
        <f t="shared" ca="1" si="111"/>
        <v/>
      </c>
      <c r="AF759" s="9" t="str">
        <f ca="1">IF(AND(Y759,AA759="ERREUR"),COUNTIF($AA$2:$AA759,"ERREUR"),"")</f>
        <v/>
      </c>
    </row>
    <row r="760" spans="23:32" ht="25" customHeight="1">
      <c r="W760" s="19">
        <f t="shared" ca="1" si="104"/>
        <v>45710</v>
      </c>
      <c r="X760" s="9" t="str">
        <f t="shared" ca="1" si="105"/>
        <v>22022025</v>
      </c>
      <c r="Y760" s="9" t="b">
        <f t="shared" ca="1" si="106"/>
        <v>0</v>
      </c>
      <c r="Z760" s="9" t="str">
        <f ca="1">IF(Y760,COUNTIF($Y$2:$Y760,TRUE),"")</f>
        <v/>
      </c>
      <c r="AA760" s="9" t="str">
        <f t="shared" ca="1" si="107"/>
        <v/>
      </c>
      <c r="AB760" s="9" t="str">
        <f t="shared" ca="1" si="108"/>
        <v/>
      </c>
      <c r="AC760" s="9" t="str">
        <f t="shared" ca="1" si="109"/>
        <v/>
      </c>
      <c r="AD760" s="9" t="str">
        <f t="shared" ca="1" si="110"/>
        <v/>
      </c>
      <c r="AE760" s="9" t="str">
        <f t="shared" ca="1" si="111"/>
        <v/>
      </c>
      <c r="AF760" s="9" t="str">
        <f ca="1">IF(AND(Y760,AA760="ERREUR"),COUNTIF($AA$2:$AA760,"ERREUR"),"")</f>
        <v/>
      </c>
    </row>
    <row r="761" spans="23:32" ht="25" customHeight="1">
      <c r="W761" s="19">
        <f t="shared" ca="1" si="104"/>
        <v>45709</v>
      </c>
      <c r="X761" s="9" t="str">
        <f t="shared" ca="1" si="105"/>
        <v>21022025</v>
      </c>
      <c r="Y761" s="9" t="b">
        <f t="shared" ca="1" si="106"/>
        <v>0</v>
      </c>
      <c r="Z761" s="9" t="str">
        <f ca="1">IF(Y761,COUNTIF($Y$2:$Y761,TRUE),"")</f>
        <v/>
      </c>
      <c r="AA761" s="9" t="str">
        <f t="shared" ca="1" si="107"/>
        <v/>
      </c>
      <c r="AB761" s="9" t="str">
        <f t="shared" ca="1" si="108"/>
        <v/>
      </c>
      <c r="AC761" s="9" t="str">
        <f t="shared" ca="1" si="109"/>
        <v/>
      </c>
      <c r="AD761" s="9" t="str">
        <f t="shared" ca="1" si="110"/>
        <v/>
      </c>
      <c r="AE761" s="9" t="str">
        <f t="shared" ca="1" si="111"/>
        <v/>
      </c>
      <c r="AF761" s="9" t="str">
        <f ca="1">IF(AND(Y761,AA761="ERREUR"),COUNTIF($AA$2:$AA761,"ERREUR"),"")</f>
        <v/>
      </c>
    </row>
    <row r="762" spans="23:32" ht="25" customHeight="1">
      <c r="W762" s="19">
        <f t="shared" ca="1" si="104"/>
        <v>45708</v>
      </c>
      <c r="X762" s="9" t="str">
        <f t="shared" ca="1" si="105"/>
        <v>20022025</v>
      </c>
      <c r="Y762" s="9" t="b">
        <f t="shared" ca="1" si="106"/>
        <v>0</v>
      </c>
      <c r="Z762" s="9" t="str">
        <f ca="1">IF(Y762,COUNTIF($Y$2:$Y762,TRUE),"")</f>
        <v/>
      </c>
      <c r="AA762" s="9" t="str">
        <f t="shared" ca="1" si="107"/>
        <v/>
      </c>
      <c r="AB762" s="9" t="str">
        <f t="shared" ca="1" si="108"/>
        <v/>
      </c>
      <c r="AC762" s="9" t="str">
        <f t="shared" ca="1" si="109"/>
        <v/>
      </c>
      <c r="AD762" s="9" t="str">
        <f t="shared" ca="1" si="110"/>
        <v/>
      </c>
      <c r="AE762" s="9" t="str">
        <f t="shared" ca="1" si="111"/>
        <v/>
      </c>
      <c r="AF762" s="9" t="str">
        <f ca="1">IF(AND(Y762,AA762="ERREUR"),COUNTIF($AA$2:$AA762,"ERREUR"),"")</f>
        <v/>
      </c>
    </row>
    <row r="763" spans="23:32" ht="25" customHeight="1">
      <c r="W763" s="19">
        <f t="shared" ca="1" si="104"/>
        <v>45707</v>
      </c>
      <c r="X763" s="9" t="str">
        <f t="shared" ca="1" si="105"/>
        <v>19022025</v>
      </c>
      <c r="Y763" s="9" t="b">
        <f t="shared" ca="1" si="106"/>
        <v>0</v>
      </c>
      <c r="Z763" s="9" t="str">
        <f ca="1">IF(Y763,COUNTIF($Y$2:$Y763,TRUE),"")</f>
        <v/>
      </c>
      <c r="AA763" s="9" t="str">
        <f t="shared" ca="1" si="107"/>
        <v/>
      </c>
      <c r="AB763" s="9" t="str">
        <f t="shared" ca="1" si="108"/>
        <v/>
      </c>
      <c r="AC763" s="9" t="str">
        <f t="shared" ca="1" si="109"/>
        <v/>
      </c>
      <c r="AD763" s="9" t="str">
        <f t="shared" ca="1" si="110"/>
        <v/>
      </c>
      <c r="AE763" s="9" t="str">
        <f t="shared" ca="1" si="111"/>
        <v/>
      </c>
      <c r="AF763" s="9" t="str">
        <f ca="1">IF(AND(Y763,AA763="ERREUR"),COUNTIF($AA$2:$AA763,"ERREUR"),"")</f>
        <v/>
      </c>
    </row>
    <row r="764" spans="23:32" ht="25" customHeight="1">
      <c r="W764" s="19">
        <f t="shared" ca="1" si="104"/>
        <v>45706</v>
      </c>
      <c r="X764" s="9" t="str">
        <f t="shared" ca="1" si="105"/>
        <v>18022025</v>
      </c>
      <c r="Y764" s="9" t="b">
        <f t="shared" ca="1" si="106"/>
        <v>0</v>
      </c>
      <c r="Z764" s="9" t="str">
        <f ca="1">IF(Y764,COUNTIF($Y$2:$Y764,TRUE),"")</f>
        <v/>
      </c>
      <c r="AA764" s="9" t="str">
        <f t="shared" ca="1" si="107"/>
        <v/>
      </c>
      <c r="AB764" s="9" t="str">
        <f t="shared" ca="1" si="108"/>
        <v/>
      </c>
      <c r="AC764" s="9" t="str">
        <f t="shared" ca="1" si="109"/>
        <v/>
      </c>
      <c r="AD764" s="9" t="str">
        <f t="shared" ca="1" si="110"/>
        <v/>
      </c>
      <c r="AE764" s="9" t="str">
        <f t="shared" ca="1" si="111"/>
        <v/>
      </c>
      <c r="AF764" s="9" t="str">
        <f ca="1">IF(AND(Y764,AA764="ERREUR"),COUNTIF($AA$2:$AA764,"ERREUR"),"")</f>
        <v/>
      </c>
    </row>
    <row r="765" spans="23:32" ht="25" customHeight="1">
      <c r="W765" s="19">
        <f t="shared" ca="1" si="104"/>
        <v>45705</v>
      </c>
      <c r="X765" s="9" t="str">
        <f t="shared" ca="1" si="105"/>
        <v>17022025</v>
      </c>
      <c r="Y765" s="9" t="b">
        <f t="shared" ca="1" si="106"/>
        <v>0</v>
      </c>
      <c r="Z765" s="9" t="str">
        <f ca="1">IF(Y765,COUNTIF($Y$2:$Y765,TRUE),"")</f>
        <v/>
      </c>
      <c r="AA765" s="9" t="str">
        <f t="shared" ca="1" si="107"/>
        <v/>
      </c>
      <c r="AB765" s="9" t="str">
        <f t="shared" ca="1" si="108"/>
        <v/>
      </c>
      <c r="AC765" s="9" t="str">
        <f t="shared" ca="1" si="109"/>
        <v/>
      </c>
      <c r="AD765" s="9" t="str">
        <f t="shared" ca="1" si="110"/>
        <v/>
      </c>
      <c r="AE765" s="9" t="str">
        <f t="shared" ca="1" si="111"/>
        <v/>
      </c>
      <c r="AF765" s="9" t="str">
        <f ca="1">IF(AND(Y765,AA765="ERREUR"),COUNTIF($AA$2:$AA765,"ERREUR"),"")</f>
        <v/>
      </c>
    </row>
    <row r="766" spans="23:32" ht="25" customHeight="1">
      <c r="W766" s="19">
        <f t="shared" ca="1" si="104"/>
        <v>45704</v>
      </c>
      <c r="X766" s="9" t="str">
        <f t="shared" ca="1" si="105"/>
        <v>16022025</v>
      </c>
      <c r="Y766" s="9" t="b">
        <f t="shared" ca="1" si="106"/>
        <v>0</v>
      </c>
      <c r="Z766" s="9" t="str">
        <f ca="1">IF(Y766,COUNTIF($Y$2:$Y766,TRUE),"")</f>
        <v/>
      </c>
      <c r="AA766" s="9" t="str">
        <f t="shared" ca="1" si="107"/>
        <v/>
      </c>
      <c r="AB766" s="9" t="str">
        <f t="shared" ca="1" si="108"/>
        <v/>
      </c>
      <c r="AC766" s="9" t="str">
        <f t="shared" ca="1" si="109"/>
        <v/>
      </c>
      <c r="AD766" s="9" t="str">
        <f t="shared" ca="1" si="110"/>
        <v/>
      </c>
      <c r="AE766" s="9" t="str">
        <f t="shared" ca="1" si="111"/>
        <v/>
      </c>
      <c r="AF766" s="9" t="str">
        <f ca="1">IF(AND(Y766,AA766="ERREUR"),COUNTIF($AA$2:$AA766,"ERREUR"),"")</f>
        <v/>
      </c>
    </row>
    <row r="767" spans="23:32" ht="25" customHeight="1">
      <c r="W767" s="19">
        <f t="shared" ca="1" si="104"/>
        <v>45703</v>
      </c>
      <c r="X767" s="9" t="str">
        <f t="shared" ca="1" si="105"/>
        <v>15022025</v>
      </c>
      <c r="Y767" s="9" t="b">
        <f t="shared" ca="1" si="106"/>
        <v>0</v>
      </c>
      <c r="Z767" s="9" t="str">
        <f ca="1">IF(Y767,COUNTIF($Y$2:$Y767,TRUE),"")</f>
        <v/>
      </c>
      <c r="AA767" s="9" t="str">
        <f t="shared" ca="1" si="107"/>
        <v/>
      </c>
      <c r="AB767" s="9" t="str">
        <f t="shared" ca="1" si="108"/>
        <v/>
      </c>
      <c r="AC767" s="9" t="str">
        <f t="shared" ca="1" si="109"/>
        <v/>
      </c>
      <c r="AD767" s="9" t="str">
        <f t="shared" ca="1" si="110"/>
        <v/>
      </c>
      <c r="AE767" s="9" t="str">
        <f t="shared" ca="1" si="111"/>
        <v/>
      </c>
      <c r="AF767" s="9" t="str">
        <f ca="1">IF(AND(Y767,AA767="ERREUR"),COUNTIF($AA$2:$AA767,"ERREUR"),"")</f>
        <v/>
      </c>
    </row>
    <row r="768" spans="23:32" ht="25" customHeight="1">
      <c r="W768" s="19">
        <f t="shared" ca="1" si="104"/>
        <v>45702</v>
      </c>
      <c r="X768" s="9" t="str">
        <f t="shared" ca="1" si="105"/>
        <v>14022025</v>
      </c>
      <c r="Y768" s="9" t="b">
        <f t="shared" ca="1" si="106"/>
        <v>0</v>
      </c>
      <c r="Z768" s="9" t="str">
        <f ca="1">IF(Y768,COUNTIF($Y$2:$Y768,TRUE),"")</f>
        <v/>
      </c>
      <c r="AA768" s="9" t="str">
        <f t="shared" ca="1" si="107"/>
        <v/>
      </c>
      <c r="AB768" s="9" t="str">
        <f t="shared" ca="1" si="108"/>
        <v/>
      </c>
      <c r="AC768" s="9" t="str">
        <f t="shared" ca="1" si="109"/>
        <v/>
      </c>
      <c r="AD768" s="9" t="str">
        <f t="shared" ca="1" si="110"/>
        <v/>
      </c>
      <c r="AE768" s="9" t="str">
        <f t="shared" ca="1" si="111"/>
        <v/>
      </c>
      <c r="AF768" s="9" t="str">
        <f ca="1">IF(AND(Y768,AA768="ERREUR"),COUNTIF($AA$2:$AA768,"ERREUR"),"")</f>
        <v/>
      </c>
    </row>
    <row r="769" spans="23:32" ht="25" customHeight="1">
      <c r="W769" s="19">
        <f t="shared" ca="1" si="104"/>
        <v>45701</v>
      </c>
      <c r="X769" s="9" t="str">
        <f t="shared" ca="1" si="105"/>
        <v>13022025</v>
      </c>
      <c r="Y769" s="9" t="b">
        <f t="shared" ca="1" si="106"/>
        <v>0</v>
      </c>
      <c r="Z769" s="9" t="str">
        <f ca="1">IF(Y769,COUNTIF($Y$2:$Y769,TRUE),"")</f>
        <v/>
      </c>
      <c r="AA769" s="9" t="str">
        <f t="shared" ca="1" si="107"/>
        <v/>
      </c>
      <c r="AB769" s="9" t="str">
        <f t="shared" ca="1" si="108"/>
        <v/>
      </c>
      <c r="AC769" s="9" t="str">
        <f t="shared" ca="1" si="109"/>
        <v/>
      </c>
      <c r="AD769" s="9" t="str">
        <f t="shared" ca="1" si="110"/>
        <v/>
      </c>
      <c r="AE769" s="9" t="str">
        <f t="shared" ca="1" si="111"/>
        <v/>
      </c>
      <c r="AF769" s="9" t="str">
        <f ca="1">IF(AND(Y769,AA769="ERREUR"),COUNTIF($AA$2:$AA769,"ERREUR"),"")</f>
        <v/>
      </c>
    </row>
    <row r="770" spans="23:32" ht="25" customHeight="1">
      <c r="W770" s="19">
        <f t="shared" ref="W770:W800" ca="1" si="112">TODAY()+365-ROW()+2</f>
        <v>45700</v>
      </c>
      <c r="X770" s="9" t="str">
        <f t="shared" ref="X770:X800" ca="1" si="113">RIGHT("0"&amp;DAY(W770),2)&amp;RIGHT("0"&amp;MONTH(W770),2)&amp;YEAR(W770)</f>
        <v>12022025</v>
      </c>
      <c r="Y770" s="9" t="b">
        <f t="shared" ref="Y770:Y800" ca="1" si="114">IFERROR(INDIRECT(CHAR(39)&amp;X770&amp;CHAR(39)&amp;"!C3")="DATE DE CAISSE",FALSE)</f>
        <v>0</v>
      </c>
      <c r="Z770" s="9" t="str">
        <f ca="1">IF(Y770,COUNTIF($Y$2:$Y770,TRUE),"")</f>
        <v/>
      </c>
      <c r="AA770" s="9" t="str">
        <f t="shared" ref="AA770:AA800" ca="1" si="115">IF($Y770,IFERROR(IF(INDIRECT(CHAR(39)&amp;$X770&amp;CHAR(39)&amp;"!P3")="VIDE","NON SAISIE",INDIRECT(CHAR(39)&amp;$X770&amp;CHAR(39)&amp;"!P3")),""),"")</f>
        <v/>
      </c>
      <c r="AB770" s="9" t="str">
        <f t="shared" ref="AB770:AB800" ca="1" si="116">IF($Y770,IFERROR(INDIRECT(CHAR(39)&amp;$X770&amp;CHAR(39)&amp;"!M59"),""),"")</f>
        <v/>
      </c>
      <c r="AC770" s="9" t="str">
        <f t="shared" ref="AC770:AC800" ca="1" si="117">IF(Y770,IFERROR(INDIRECT(CHAR(39)&amp;X770&amp;CHAR(39)&amp;"!M3"),""),"")</f>
        <v/>
      </c>
      <c r="AD770" s="9" t="str">
        <f t="shared" ref="AD770:AD800" ca="1" si="118">IF(Y770,IFERROR(INDIRECT(CHAR(39)&amp;X770&amp;CHAR(39)&amp;"!M60"),""),"")</f>
        <v/>
      </c>
      <c r="AE770" s="9" t="str">
        <f t="shared" ref="AE770:AE800" ca="1" si="119">IF($Y770,IF($AA770="OK","RAS",IF($AA770="NON SAISIE","Non saisie",IF($AC770&lt;&gt;0,"Ecart de saisie",IF($AD770&lt;&gt;0,"Ecart de caisse",IF(IFERROR(COUNTIF(INDIRECT(CHAR(39)&amp;$X770&amp;CHAR(39)&amp;"!M11:M40"),"ERREUR"),0)&gt;0,"Lignes facture",IF(IFERROR(COUNTIF(INDIRECT(CHAR(39)&amp;$X770&amp;CHAR(39)&amp;"!N47:N50"),"&lt;&gt;OK"),0)&gt;0,"Controle banque","A verifier")))))),"")</f>
        <v/>
      </c>
      <c r="AF770" s="9" t="str">
        <f ca="1">IF(AND(Y770,AA770="ERREUR"),COUNTIF($AA$2:$AA770,"ERREUR"),"")</f>
        <v/>
      </c>
    </row>
    <row r="771" spans="23:32" ht="25" customHeight="1">
      <c r="W771" s="19">
        <f t="shared" ca="1" si="112"/>
        <v>45699</v>
      </c>
      <c r="X771" s="9" t="str">
        <f t="shared" ca="1" si="113"/>
        <v>11022025</v>
      </c>
      <c r="Y771" s="9" t="b">
        <f t="shared" ca="1" si="114"/>
        <v>0</v>
      </c>
      <c r="Z771" s="9" t="str">
        <f ca="1">IF(Y771,COUNTIF($Y$2:$Y771,TRUE),"")</f>
        <v/>
      </c>
      <c r="AA771" s="9" t="str">
        <f t="shared" ca="1" si="115"/>
        <v/>
      </c>
      <c r="AB771" s="9" t="str">
        <f t="shared" ca="1" si="116"/>
        <v/>
      </c>
      <c r="AC771" s="9" t="str">
        <f t="shared" ca="1" si="117"/>
        <v/>
      </c>
      <c r="AD771" s="9" t="str">
        <f t="shared" ca="1" si="118"/>
        <v/>
      </c>
      <c r="AE771" s="9" t="str">
        <f t="shared" ca="1" si="119"/>
        <v/>
      </c>
      <c r="AF771" s="9" t="str">
        <f ca="1">IF(AND(Y771,AA771="ERREUR"),COUNTIF($AA$2:$AA771,"ERREUR"),"")</f>
        <v/>
      </c>
    </row>
    <row r="772" spans="23:32" ht="25" customHeight="1">
      <c r="W772" s="19">
        <f t="shared" ca="1" si="112"/>
        <v>45698</v>
      </c>
      <c r="X772" s="9" t="str">
        <f t="shared" ca="1" si="113"/>
        <v>10022025</v>
      </c>
      <c r="Y772" s="9" t="b">
        <f t="shared" ca="1" si="114"/>
        <v>0</v>
      </c>
      <c r="Z772" s="9" t="str">
        <f ca="1">IF(Y772,COUNTIF($Y$2:$Y772,TRUE),"")</f>
        <v/>
      </c>
      <c r="AA772" s="9" t="str">
        <f t="shared" ca="1" si="115"/>
        <v/>
      </c>
      <c r="AB772" s="9" t="str">
        <f t="shared" ca="1" si="116"/>
        <v/>
      </c>
      <c r="AC772" s="9" t="str">
        <f t="shared" ca="1" si="117"/>
        <v/>
      </c>
      <c r="AD772" s="9" t="str">
        <f t="shared" ca="1" si="118"/>
        <v/>
      </c>
      <c r="AE772" s="9" t="str">
        <f t="shared" ca="1" si="119"/>
        <v/>
      </c>
      <c r="AF772" s="9" t="str">
        <f ca="1">IF(AND(Y772,AA772="ERREUR"),COUNTIF($AA$2:$AA772,"ERREUR"),"")</f>
        <v/>
      </c>
    </row>
    <row r="773" spans="23:32" ht="25" customHeight="1">
      <c r="W773" s="19">
        <f t="shared" ca="1" si="112"/>
        <v>45697</v>
      </c>
      <c r="X773" s="9" t="str">
        <f t="shared" ca="1" si="113"/>
        <v>09022025</v>
      </c>
      <c r="Y773" s="9" t="b">
        <f t="shared" ca="1" si="114"/>
        <v>0</v>
      </c>
      <c r="Z773" s="9" t="str">
        <f ca="1">IF(Y773,COUNTIF($Y$2:$Y773,TRUE),"")</f>
        <v/>
      </c>
      <c r="AA773" s="9" t="str">
        <f t="shared" ca="1" si="115"/>
        <v/>
      </c>
      <c r="AB773" s="9" t="str">
        <f t="shared" ca="1" si="116"/>
        <v/>
      </c>
      <c r="AC773" s="9" t="str">
        <f t="shared" ca="1" si="117"/>
        <v/>
      </c>
      <c r="AD773" s="9" t="str">
        <f t="shared" ca="1" si="118"/>
        <v/>
      </c>
      <c r="AE773" s="9" t="str">
        <f t="shared" ca="1" si="119"/>
        <v/>
      </c>
      <c r="AF773" s="9" t="str">
        <f ca="1">IF(AND(Y773,AA773="ERREUR"),COUNTIF($AA$2:$AA773,"ERREUR"),"")</f>
        <v/>
      </c>
    </row>
    <row r="774" spans="23:32" ht="25" customHeight="1">
      <c r="W774" s="19">
        <f t="shared" ca="1" si="112"/>
        <v>45696</v>
      </c>
      <c r="X774" s="9" t="str">
        <f t="shared" ca="1" si="113"/>
        <v>08022025</v>
      </c>
      <c r="Y774" s="9" t="b">
        <f t="shared" ca="1" si="114"/>
        <v>0</v>
      </c>
      <c r="Z774" s="9" t="str">
        <f ca="1">IF(Y774,COUNTIF($Y$2:$Y774,TRUE),"")</f>
        <v/>
      </c>
      <c r="AA774" s="9" t="str">
        <f t="shared" ca="1" si="115"/>
        <v/>
      </c>
      <c r="AB774" s="9" t="str">
        <f t="shared" ca="1" si="116"/>
        <v/>
      </c>
      <c r="AC774" s="9" t="str">
        <f t="shared" ca="1" si="117"/>
        <v/>
      </c>
      <c r="AD774" s="9" t="str">
        <f t="shared" ca="1" si="118"/>
        <v/>
      </c>
      <c r="AE774" s="9" t="str">
        <f t="shared" ca="1" si="119"/>
        <v/>
      </c>
      <c r="AF774" s="9" t="str">
        <f ca="1">IF(AND(Y774,AA774="ERREUR"),COUNTIF($AA$2:$AA774,"ERREUR"),"")</f>
        <v/>
      </c>
    </row>
    <row r="775" spans="23:32" ht="25" customHeight="1">
      <c r="W775" s="19">
        <f t="shared" ca="1" si="112"/>
        <v>45695</v>
      </c>
      <c r="X775" s="9" t="str">
        <f t="shared" ca="1" si="113"/>
        <v>07022025</v>
      </c>
      <c r="Y775" s="9" t="b">
        <f t="shared" ca="1" si="114"/>
        <v>0</v>
      </c>
      <c r="Z775" s="9" t="str">
        <f ca="1">IF(Y775,COUNTIF($Y$2:$Y775,TRUE),"")</f>
        <v/>
      </c>
      <c r="AA775" s="9" t="str">
        <f t="shared" ca="1" si="115"/>
        <v/>
      </c>
      <c r="AB775" s="9" t="str">
        <f t="shared" ca="1" si="116"/>
        <v/>
      </c>
      <c r="AC775" s="9" t="str">
        <f t="shared" ca="1" si="117"/>
        <v/>
      </c>
      <c r="AD775" s="9" t="str">
        <f t="shared" ca="1" si="118"/>
        <v/>
      </c>
      <c r="AE775" s="9" t="str">
        <f t="shared" ca="1" si="119"/>
        <v/>
      </c>
      <c r="AF775" s="9" t="str">
        <f ca="1">IF(AND(Y775,AA775="ERREUR"),COUNTIF($AA$2:$AA775,"ERREUR"),"")</f>
        <v/>
      </c>
    </row>
    <row r="776" spans="23:32" ht="25" customHeight="1">
      <c r="W776" s="19">
        <f t="shared" ca="1" si="112"/>
        <v>45694</v>
      </c>
      <c r="X776" s="9" t="str">
        <f t="shared" ca="1" si="113"/>
        <v>06022025</v>
      </c>
      <c r="Y776" s="9" t="b">
        <f t="shared" ca="1" si="114"/>
        <v>0</v>
      </c>
      <c r="Z776" s="9" t="str">
        <f ca="1">IF(Y776,COUNTIF($Y$2:$Y776,TRUE),"")</f>
        <v/>
      </c>
      <c r="AA776" s="9" t="str">
        <f t="shared" ca="1" si="115"/>
        <v/>
      </c>
      <c r="AB776" s="9" t="str">
        <f t="shared" ca="1" si="116"/>
        <v/>
      </c>
      <c r="AC776" s="9" t="str">
        <f t="shared" ca="1" si="117"/>
        <v/>
      </c>
      <c r="AD776" s="9" t="str">
        <f t="shared" ca="1" si="118"/>
        <v/>
      </c>
      <c r="AE776" s="9" t="str">
        <f t="shared" ca="1" si="119"/>
        <v/>
      </c>
      <c r="AF776" s="9" t="str">
        <f ca="1">IF(AND(Y776,AA776="ERREUR"),COUNTIF($AA$2:$AA776,"ERREUR"),"")</f>
        <v/>
      </c>
    </row>
    <row r="777" spans="23:32" ht="25" customHeight="1">
      <c r="W777" s="19">
        <f t="shared" ca="1" si="112"/>
        <v>45693</v>
      </c>
      <c r="X777" s="9" t="str">
        <f t="shared" ca="1" si="113"/>
        <v>05022025</v>
      </c>
      <c r="Y777" s="9" t="b">
        <f t="shared" ca="1" si="114"/>
        <v>0</v>
      </c>
      <c r="Z777" s="9" t="str">
        <f ca="1">IF(Y777,COUNTIF($Y$2:$Y777,TRUE),"")</f>
        <v/>
      </c>
      <c r="AA777" s="9" t="str">
        <f t="shared" ca="1" si="115"/>
        <v/>
      </c>
      <c r="AB777" s="9" t="str">
        <f t="shared" ca="1" si="116"/>
        <v/>
      </c>
      <c r="AC777" s="9" t="str">
        <f t="shared" ca="1" si="117"/>
        <v/>
      </c>
      <c r="AD777" s="9" t="str">
        <f t="shared" ca="1" si="118"/>
        <v/>
      </c>
      <c r="AE777" s="9" t="str">
        <f t="shared" ca="1" si="119"/>
        <v/>
      </c>
      <c r="AF777" s="9" t="str">
        <f ca="1">IF(AND(Y777,AA777="ERREUR"),COUNTIF($AA$2:$AA777,"ERREUR"),"")</f>
        <v/>
      </c>
    </row>
    <row r="778" spans="23:32" ht="25" customHeight="1">
      <c r="W778" s="19">
        <f t="shared" ca="1" si="112"/>
        <v>45692</v>
      </c>
      <c r="X778" s="9" t="str">
        <f t="shared" ca="1" si="113"/>
        <v>04022025</v>
      </c>
      <c r="Y778" s="9" t="b">
        <f t="shared" ca="1" si="114"/>
        <v>0</v>
      </c>
      <c r="Z778" s="9" t="str">
        <f ca="1">IF(Y778,COUNTIF($Y$2:$Y778,TRUE),"")</f>
        <v/>
      </c>
      <c r="AA778" s="9" t="str">
        <f t="shared" ca="1" si="115"/>
        <v/>
      </c>
      <c r="AB778" s="9" t="str">
        <f t="shared" ca="1" si="116"/>
        <v/>
      </c>
      <c r="AC778" s="9" t="str">
        <f t="shared" ca="1" si="117"/>
        <v/>
      </c>
      <c r="AD778" s="9" t="str">
        <f t="shared" ca="1" si="118"/>
        <v/>
      </c>
      <c r="AE778" s="9" t="str">
        <f t="shared" ca="1" si="119"/>
        <v/>
      </c>
      <c r="AF778" s="9" t="str">
        <f ca="1">IF(AND(Y778,AA778="ERREUR"),COUNTIF($AA$2:$AA778,"ERREUR"),"")</f>
        <v/>
      </c>
    </row>
    <row r="779" spans="23:32" ht="25" customHeight="1">
      <c r="W779" s="19">
        <f t="shared" ca="1" si="112"/>
        <v>45691</v>
      </c>
      <c r="X779" s="9" t="str">
        <f t="shared" ca="1" si="113"/>
        <v>03022025</v>
      </c>
      <c r="Y779" s="9" t="b">
        <f t="shared" ca="1" si="114"/>
        <v>0</v>
      </c>
      <c r="Z779" s="9" t="str">
        <f ca="1">IF(Y779,COUNTIF($Y$2:$Y779,TRUE),"")</f>
        <v/>
      </c>
      <c r="AA779" s="9" t="str">
        <f t="shared" ca="1" si="115"/>
        <v/>
      </c>
      <c r="AB779" s="9" t="str">
        <f t="shared" ca="1" si="116"/>
        <v/>
      </c>
      <c r="AC779" s="9" t="str">
        <f t="shared" ca="1" si="117"/>
        <v/>
      </c>
      <c r="AD779" s="9" t="str">
        <f t="shared" ca="1" si="118"/>
        <v/>
      </c>
      <c r="AE779" s="9" t="str">
        <f t="shared" ca="1" si="119"/>
        <v/>
      </c>
      <c r="AF779" s="9" t="str">
        <f ca="1">IF(AND(Y779,AA779="ERREUR"),COUNTIF($AA$2:$AA779,"ERREUR"),"")</f>
        <v/>
      </c>
    </row>
    <row r="780" spans="23:32" ht="25" customHeight="1">
      <c r="W780" s="19">
        <f t="shared" ca="1" si="112"/>
        <v>45690</v>
      </c>
      <c r="X780" s="9" t="str">
        <f t="shared" ca="1" si="113"/>
        <v>02022025</v>
      </c>
      <c r="Y780" s="9" t="b">
        <f t="shared" ca="1" si="114"/>
        <v>0</v>
      </c>
      <c r="Z780" s="9" t="str">
        <f ca="1">IF(Y780,COUNTIF($Y$2:$Y780,TRUE),"")</f>
        <v/>
      </c>
      <c r="AA780" s="9" t="str">
        <f t="shared" ca="1" si="115"/>
        <v/>
      </c>
      <c r="AB780" s="9" t="str">
        <f t="shared" ca="1" si="116"/>
        <v/>
      </c>
      <c r="AC780" s="9" t="str">
        <f t="shared" ca="1" si="117"/>
        <v/>
      </c>
      <c r="AD780" s="9" t="str">
        <f t="shared" ca="1" si="118"/>
        <v/>
      </c>
      <c r="AE780" s="9" t="str">
        <f t="shared" ca="1" si="119"/>
        <v/>
      </c>
      <c r="AF780" s="9" t="str">
        <f ca="1">IF(AND(Y780,AA780="ERREUR"),COUNTIF($AA$2:$AA780,"ERREUR"),"")</f>
        <v/>
      </c>
    </row>
    <row r="781" spans="23:32" ht="25" customHeight="1">
      <c r="W781" s="19">
        <f t="shared" ca="1" si="112"/>
        <v>45689</v>
      </c>
      <c r="X781" s="9" t="str">
        <f t="shared" ca="1" si="113"/>
        <v>01022025</v>
      </c>
      <c r="Y781" s="9" t="b">
        <f t="shared" ca="1" si="114"/>
        <v>0</v>
      </c>
      <c r="Z781" s="9" t="str">
        <f ca="1">IF(Y781,COUNTIF($Y$2:$Y781,TRUE),"")</f>
        <v/>
      </c>
      <c r="AA781" s="9" t="str">
        <f t="shared" ca="1" si="115"/>
        <v/>
      </c>
      <c r="AB781" s="9" t="str">
        <f t="shared" ca="1" si="116"/>
        <v/>
      </c>
      <c r="AC781" s="9" t="str">
        <f t="shared" ca="1" si="117"/>
        <v/>
      </c>
      <c r="AD781" s="9" t="str">
        <f t="shared" ca="1" si="118"/>
        <v/>
      </c>
      <c r="AE781" s="9" t="str">
        <f t="shared" ca="1" si="119"/>
        <v/>
      </c>
      <c r="AF781" s="9" t="str">
        <f ca="1">IF(AND(Y781,AA781="ERREUR"),COUNTIF($AA$2:$AA781,"ERREUR"),"")</f>
        <v/>
      </c>
    </row>
    <row r="782" spans="23:32" ht="25" customHeight="1">
      <c r="W782" s="19">
        <f t="shared" ca="1" si="112"/>
        <v>45688</v>
      </c>
      <c r="X782" s="9" t="str">
        <f t="shared" ca="1" si="113"/>
        <v>31012025</v>
      </c>
      <c r="Y782" s="9" t="b">
        <f t="shared" ca="1" si="114"/>
        <v>0</v>
      </c>
      <c r="Z782" s="9" t="str">
        <f ca="1">IF(Y782,COUNTIF($Y$2:$Y782,TRUE),"")</f>
        <v/>
      </c>
      <c r="AA782" s="9" t="str">
        <f t="shared" ca="1" si="115"/>
        <v/>
      </c>
      <c r="AB782" s="9" t="str">
        <f t="shared" ca="1" si="116"/>
        <v/>
      </c>
      <c r="AC782" s="9" t="str">
        <f t="shared" ca="1" si="117"/>
        <v/>
      </c>
      <c r="AD782" s="9" t="str">
        <f t="shared" ca="1" si="118"/>
        <v/>
      </c>
      <c r="AE782" s="9" t="str">
        <f t="shared" ca="1" si="119"/>
        <v/>
      </c>
      <c r="AF782" s="9" t="str">
        <f ca="1">IF(AND(Y782,AA782="ERREUR"),COUNTIF($AA$2:$AA782,"ERREUR"),"")</f>
        <v/>
      </c>
    </row>
    <row r="783" spans="23:32" ht="25" customHeight="1">
      <c r="W783" s="19">
        <f t="shared" ca="1" si="112"/>
        <v>45687</v>
      </c>
      <c r="X783" s="9" t="str">
        <f t="shared" ca="1" si="113"/>
        <v>30012025</v>
      </c>
      <c r="Y783" s="9" t="b">
        <f t="shared" ca="1" si="114"/>
        <v>0</v>
      </c>
      <c r="Z783" s="9" t="str">
        <f ca="1">IF(Y783,COUNTIF($Y$2:$Y783,TRUE),"")</f>
        <v/>
      </c>
      <c r="AA783" s="9" t="str">
        <f t="shared" ca="1" si="115"/>
        <v/>
      </c>
      <c r="AB783" s="9" t="str">
        <f t="shared" ca="1" si="116"/>
        <v/>
      </c>
      <c r="AC783" s="9" t="str">
        <f t="shared" ca="1" si="117"/>
        <v/>
      </c>
      <c r="AD783" s="9" t="str">
        <f t="shared" ca="1" si="118"/>
        <v/>
      </c>
      <c r="AE783" s="9" t="str">
        <f t="shared" ca="1" si="119"/>
        <v/>
      </c>
      <c r="AF783" s="9" t="str">
        <f ca="1">IF(AND(Y783,AA783="ERREUR"),COUNTIF($AA$2:$AA783,"ERREUR"),"")</f>
        <v/>
      </c>
    </row>
    <row r="784" spans="23:32" ht="25" customHeight="1">
      <c r="W784" s="19">
        <f t="shared" ca="1" si="112"/>
        <v>45686</v>
      </c>
      <c r="X784" s="9" t="str">
        <f t="shared" ca="1" si="113"/>
        <v>29012025</v>
      </c>
      <c r="Y784" s="9" t="b">
        <f t="shared" ca="1" si="114"/>
        <v>0</v>
      </c>
      <c r="Z784" s="9" t="str">
        <f ca="1">IF(Y784,COUNTIF($Y$2:$Y784,TRUE),"")</f>
        <v/>
      </c>
      <c r="AA784" s="9" t="str">
        <f t="shared" ca="1" si="115"/>
        <v/>
      </c>
      <c r="AB784" s="9" t="str">
        <f t="shared" ca="1" si="116"/>
        <v/>
      </c>
      <c r="AC784" s="9" t="str">
        <f t="shared" ca="1" si="117"/>
        <v/>
      </c>
      <c r="AD784" s="9" t="str">
        <f t="shared" ca="1" si="118"/>
        <v/>
      </c>
      <c r="AE784" s="9" t="str">
        <f t="shared" ca="1" si="119"/>
        <v/>
      </c>
      <c r="AF784" s="9" t="str">
        <f ca="1">IF(AND(Y784,AA784="ERREUR"),COUNTIF($AA$2:$AA784,"ERREUR"),"")</f>
        <v/>
      </c>
    </row>
    <row r="785" spans="23:32" ht="25" customHeight="1">
      <c r="W785" s="19">
        <f t="shared" ca="1" si="112"/>
        <v>45685</v>
      </c>
      <c r="X785" s="9" t="str">
        <f t="shared" ca="1" si="113"/>
        <v>28012025</v>
      </c>
      <c r="Y785" s="9" t="b">
        <f t="shared" ca="1" si="114"/>
        <v>0</v>
      </c>
      <c r="Z785" s="9" t="str">
        <f ca="1">IF(Y785,COUNTIF($Y$2:$Y785,TRUE),"")</f>
        <v/>
      </c>
      <c r="AA785" s="9" t="str">
        <f t="shared" ca="1" si="115"/>
        <v/>
      </c>
      <c r="AB785" s="9" t="str">
        <f t="shared" ca="1" si="116"/>
        <v/>
      </c>
      <c r="AC785" s="9" t="str">
        <f t="shared" ca="1" si="117"/>
        <v/>
      </c>
      <c r="AD785" s="9" t="str">
        <f t="shared" ca="1" si="118"/>
        <v/>
      </c>
      <c r="AE785" s="9" t="str">
        <f t="shared" ca="1" si="119"/>
        <v/>
      </c>
      <c r="AF785" s="9" t="str">
        <f ca="1">IF(AND(Y785,AA785="ERREUR"),COUNTIF($AA$2:$AA785,"ERREUR"),"")</f>
        <v/>
      </c>
    </row>
    <row r="786" spans="23:32" ht="25" customHeight="1">
      <c r="W786" s="19">
        <f t="shared" ca="1" si="112"/>
        <v>45684</v>
      </c>
      <c r="X786" s="9" t="str">
        <f t="shared" ca="1" si="113"/>
        <v>27012025</v>
      </c>
      <c r="Y786" s="9" t="b">
        <f t="shared" ca="1" si="114"/>
        <v>0</v>
      </c>
      <c r="Z786" s="9" t="str">
        <f ca="1">IF(Y786,COUNTIF($Y$2:$Y786,TRUE),"")</f>
        <v/>
      </c>
      <c r="AA786" s="9" t="str">
        <f t="shared" ca="1" si="115"/>
        <v/>
      </c>
      <c r="AB786" s="9" t="str">
        <f t="shared" ca="1" si="116"/>
        <v/>
      </c>
      <c r="AC786" s="9" t="str">
        <f t="shared" ca="1" si="117"/>
        <v/>
      </c>
      <c r="AD786" s="9" t="str">
        <f t="shared" ca="1" si="118"/>
        <v/>
      </c>
      <c r="AE786" s="9" t="str">
        <f t="shared" ca="1" si="119"/>
        <v/>
      </c>
      <c r="AF786" s="9" t="str">
        <f ca="1">IF(AND(Y786,AA786="ERREUR"),COUNTIF($AA$2:$AA786,"ERREUR"),"")</f>
        <v/>
      </c>
    </row>
    <row r="787" spans="23:32" ht="25" customHeight="1">
      <c r="W787" s="19">
        <f t="shared" ca="1" si="112"/>
        <v>45683</v>
      </c>
      <c r="X787" s="9" t="str">
        <f t="shared" ca="1" si="113"/>
        <v>26012025</v>
      </c>
      <c r="Y787" s="9" t="b">
        <f t="shared" ca="1" si="114"/>
        <v>0</v>
      </c>
      <c r="Z787" s="9" t="str">
        <f ca="1">IF(Y787,COUNTIF($Y$2:$Y787,TRUE),"")</f>
        <v/>
      </c>
      <c r="AA787" s="9" t="str">
        <f t="shared" ca="1" si="115"/>
        <v/>
      </c>
      <c r="AB787" s="9" t="str">
        <f t="shared" ca="1" si="116"/>
        <v/>
      </c>
      <c r="AC787" s="9" t="str">
        <f t="shared" ca="1" si="117"/>
        <v/>
      </c>
      <c r="AD787" s="9" t="str">
        <f t="shared" ca="1" si="118"/>
        <v/>
      </c>
      <c r="AE787" s="9" t="str">
        <f t="shared" ca="1" si="119"/>
        <v/>
      </c>
      <c r="AF787" s="9" t="str">
        <f ca="1">IF(AND(Y787,AA787="ERREUR"),COUNTIF($AA$2:$AA787,"ERREUR"),"")</f>
        <v/>
      </c>
    </row>
    <row r="788" spans="23:32" ht="25" customHeight="1">
      <c r="W788" s="19">
        <f t="shared" ca="1" si="112"/>
        <v>45682</v>
      </c>
      <c r="X788" s="9" t="str">
        <f t="shared" ca="1" si="113"/>
        <v>25012025</v>
      </c>
      <c r="Y788" s="9" t="b">
        <f t="shared" ca="1" si="114"/>
        <v>0</v>
      </c>
      <c r="Z788" s="9" t="str">
        <f ca="1">IF(Y788,COUNTIF($Y$2:$Y788,TRUE),"")</f>
        <v/>
      </c>
      <c r="AA788" s="9" t="str">
        <f t="shared" ca="1" si="115"/>
        <v/>
      </c>
      <c r="AB788" s="9" t="str">
        <f t="shared" ca="1" si="116"/>
        <v/>
      </c>
      <c r="AC788" s="9" t="str">
        <f t="shared" ca="1" si="117"/>
        <v/>
      </c>
      <c r="AD788" s="9" t="str">
        <f t="shared" ca="1" si="118"/>
        <v/>
      </c>
      <c r="AE788" s="9" t="str">
        <f t="shared" ca="1" si="119"/>
        <v/>
      </c>
      <c r="AF788" s="9" t="str">
        <f ca="1">IF(AND(Y788,AA788="ERREUR"),COUNTIF($AA$2:$AA788,"ERREUR"),"")</f>
        <v/>
      </c>
    </row>
    <row r="789" spans="23:32" ht="25" customHeight="1">
      <c r="W789" s="19">
        <f t="shared" ca="1" si="112"/>
        <v>45681</v>
      </c>
      <c r="X789" s="9" t="str">
        <f t="shared" ca="1" si="113"/>
        <v>24012025</v>
      </c>
      <c r="Y789" s="9" t="b">
        <f t="shared" ca="1" si="114"/>
        <v>0</v>
      </c>
      <c r="Z789" s="9" t="str">
        <f ca="1">IF(Y789,COUNTIF($Y$2:$Y789,TRUE),"")</f>
        <v/>
      </c>
      <c r="AA789" s="9" t="str">
        <f t="shared" ca="1" si="115"/>
        <v/>
      </c>
      <c r="AB789" s="9" t="str">
        <f t="shared" ca="1" si="116"/>
        <v/>
      </c>
      <c r="AC789" s="9" t="str">
        <f t="shared" ca="1" si="117"/>
        <v/>
      </c>
      <c r="AD789" s="9" t="str">
        <f t="shared" ca="1" si="118"/>
        <v/>
      </c>
      <c r="AE789" s="9" t="str">
        <f t="shared" ca="1" si="119"/>
        <v/>
      </c>
      <c r="AF789" s="9" t="str">
        <f ca="1">IF(AND(Y789,AA789="ERREUR"),COUNTIF($AA$2:$AA789,"ERREUR"),"")</f>
        <v/>
      </c>
    </row>
    <row r="790" spans="23:32" ht="25" customHeight="1">
      <c r="W790" s="19">
        <f t="shared" ca="1" si="112"/>
        <v>45680</v>
      </c>
      <c r="X790" s="9" t="str">
        <f t="shared" ca="1" si="113"/>
        <v>23012025</v>
      </c>
      <c r="Y790" s="9" t="b">
        <f t="shared" ca="1" si="114"/>
        <v>0</v>
      </c>
      <c r="Z790" s="9" t="str">
        <f ca="1">IF(Y790,COUNTIF($Y$2:$Y790,TRUE),"")</f>
        <v/>
      </c>
      <c r="AA790" s="9" t="str">
        <f t="shared" ca="1" si="115"/>
        <v/>
      </c>
      <c r="AB790" s="9" t="str">
        <f t="shared" ca="1" si="116"/>
        <v/>
      </c>
      <c r="AC790" s="9" t="str">
        <f t="shared" ca="1" si="117"/>
        <v/>
      </c>
      <c r="AD790" s="9" t="str">
        <f t="shared" ca="1" si="118"/>
        <v/>
      </c>
      <c r="AE790" s="9" t="str">
        <f t="shared" ca="1" si="119"/>
        <v/>
      </c>
      <c r="AF790" s="9" t="str">
        <f ca="1">IF(AND(Y790,AA790="ERREUR"),COUNTIF($AA$2:$AA790,"ERREUR"),"")</f>
        <v/>
      </c>
    </row>
    <row r="791" spans="23:32" ht="25" customHeight="1">
      <c r="W791" s="19">
        <f t="shared" ca="1" si="112"/>
        <v>45679</v>
      </c>
      <c r="X791" s="9" t="str">
        <f t="shared" ca="1" si="113"/>
        <v>22012025</v>
      </c>
      <c r="Y791" s="9" t="b">
        <f t="shared" ca="1" si="114"/>
        <v>0</v>
      </c>
      <c r="Z791" s="9" t="str">
        <f ca="1">IF(Y791,COUNTIF($Y$2:$Y791,TRUE),"")</f>
        <v/>
      </c>
      <c r="AA791" s="9" t="str">
        <f t="shared" ca="1" si="115"/>
        <v/>
      </c>
      <c r="AB791" s="9" t="str">
        <f t="shared" ca="1" si="116"/>
        <v/>
      </c>
      <c r="AC791" s="9" t="str">
        <f t="shared" ca="1" si="117"/>
        <v/>
      </c>
      <c r="AD791" s="9" t="str">
        <f t="shared" ca="1" si="118"/>
        <v/>
      </c>
      <c r="AE791" s="9" t="str">
        <f t="shared" ca="1" si="119"/>
        <v/>
      </c>
      <c r="AF791" s="9" t="str">
        <f ca="1">IF(AND(Y791,AA791="ERREUR"),COUNTIF($AA$2:$AA791,"ERREUR"),"")</f>
        <v/>
      </c>
    </row>
    <row r="792" spans="23:32" ht="25" customHeight="1">
      <c r="W792" s="19">
        <f t="shared" ca="1" si="112"/>
        <v>45678</v>
      </c>
      <c r="X792" s="9" t="str">
        <f t="shared" ca="1" si="113"/>
        <v>21012025</v>
      </c>
      <c r="Y792" s="9" t="b">
        <f t="shared" ca="1" si="114"/>
        <v>0</v>
      </c>
      <c r="Z792" s="9" t="str">
        <f ca="1">IF(Y792,COUNTIF($Y$2:$Y792,TRUE),"")</f>
        <v/>
      </c>
      <c r="AA792" s="9" t="str">
        <f t="shared" ca="1" si="115"/>
        <v/>
      </c>
      <c r="AB792" s="9" t="str">
        <f t="shared" ca="1" si="116"/>
        <v/>
      </c>
      <c r="AC792" s="9" t="str">
        <f t="shared" ca="1" si="117"/>
        <v/>
      </c>
      <c r="AD792" s="9" t="str">
        <f t="shared" ca="1" si="118"/>
        <v/>
      </c>
      <c r="AE792" s="9" t="str">
        <f t="shared" ca="1" si="119"/>
        <v/>
      </c>
      <c r="AF792" s="9" t="str">
        <f ca="1">IF(AND(Y792,AA792="ERREUR"),COUNTIF($AA$2:$AA792,"ERREUR"),"")</f>
        <v/>
      </c>
    </row>
    <row r="793" spans="23:32" ht="25" customHeight="1">
      <c r="W793" s="19">
        <f t="shared" ca="1" si="112"/>
        <v>45677</v>
      </c>
      <c r="X793" s="9" t="str">
        <f t="shared" ca="1" si="113"/>
        <v>20012025</v>
      </c>
      <c r="Y793" s="9" t="b">
        <f t="shared" ca="1" si="114"/>
        <v>0</v>
      </c>
      <c r="Z793" s="9" t="str">
        <f ca="1">IF(Y793,COUNTIF($Y$2:$Y793,TRUE),"")</f>
        <v/>
      </c>
      <c r="AA793" s="9" t="str">
        <f t="shared" ca="1" si="115"/>
        <v/>
      </c>
      <c r="AB793" s="9" t="str">
        <f t="shared" ca="1" si="116"/>
        <v/>
      </c>
      <c r="AC793" s="9" t="str">
        <f t="shared" ca="1" si="117"/>
        <v/>
      </c>
      <c r="AD793" s="9" t="str">
        <f t="shared" ca="1" si="118"/>
        <v/>
      </c>
      <c r="AE793" s="9" t="str">
        <f t="shared" ca="1" si="119"/>
        <v/>
      </c>
      <c r="AF793" s="9" t="str">
        <f ca="1">IF(AND(Y793,AA793="ERREUR"),COUNTIF($AA$2:$AA793,"ERREUR"),"")</f>
        <v/>
      </c>
    </row>
    <row r="794" spans="23:32" ht="25" customHeight="1">
      <c r="W794" s="19">
        <f t="shared" ca="1" si="112"/>
        <v>45676</v>
      </c>
      <c r="X794" s="9" t="str">
        <f t="shared" ca="1" si="113"/>
        <v>19012025</v>
      </c>
      <c r="Y794" s="9" t="b">
        <f t="shared" ca="1" si="114"/>
        <v>0</v>
      </c>
      <c r="Z794" s="9" t="str">
        <f ca="1">IF(Y794,COUNTIF($Y$2:$Y794,TRUE),"")</f>
        <v/>
      </c>
      <c r="AA794" s="9" t="str">
        <f t="shared" ca="1" si="115"/>
        <v/>
      </c>
      <c r="AB794" s="9" t="str">
        <f t="shared" ca="1" si="116"/>
        <v/>
      </c>
      <c r="AC794" s="9" t="str">
        <f t="shared" ca="1" si="117"/>
        <v/>
      </c>
      <c r="AD794" s="9" t="str">
        <f t="shared" ca="1" si="118"/>
        <v/>
      </c>
      <c r="AE794" s="9" t="str">
        <f t="shared" ca="1" si="119"/>
        <v/>
      </c>
      <c r="AF794" s="9" t="str">
        <f ca="1">IF(AND(Y794,AA794="ERREUR"),COUNTIF($AA$2:$AA794,"ERREUR"),"")</f>
        <v/>
      </c>
    </row>
    <row r="795" spans="23:32" ht="25" customHeight="1">
      <c r="W795" s="19">
        <f t="shared" ca="1" si="112"/>
        <v>45675</v>
      </c>
      <c r="X795" s="9" t="str">
        <f t="shared" ca="1" si="113"/>
        <v>18012025</v>
      </c>
      <c r="Y795" s="9" t="b">
        <f t="shared" ca="1" si="114"/>
        <v>0</v>
      </c>
      <c r="Z795" s="9" t="str">
        <f ca="1">IF(Y795,COUNTIF($Y$2:$Y795,TRUE),"")</f>
        <v/>
      </c>
      <c r="AA795" s="9" t="str">
        <f t="shared" ca="1" si="115"/>
        <v/>
      </c>
      <c r="AB795" s="9" t="str">
        <f t="shared" ca="1" si="116"/>
        <v/>
      </c>
      <c r="AC795" s="9" t="str">
        <f t="shared" ca="1" si="117"/>
        <v/>
      </c>
      <c r="AD795" s="9" t="str">
        <f t="shared" ca="1" si="118"/>
        <v/>
      </c>
      <c r="AE795" s="9" t="str">
        <f t="shared" ca="1" si="119"/>
        <v/>
      </c>
      <c r="AF795" s="9" t="str">
        <f ca="1">IF(AND(Y795,AA795="ERREUR"),COUNTIF($AA$2:$AA795,"ERREUR"),"")</f>
        <v/>
      </c>
    </row>
    <row r="796" spans="23:32" ht="25" customHeight="1">
      <c r="W796" s="19">
        <f t="shared" ca="1" si="112"/>
        <v>45674</v>
      </c>
      <c r="X796" s="9" t="str">
        <f t="shared" ca="1" si="113"/>
        <v>17012025</v>
      </c>
      <c r="Y796" s="9" t="b">
        <f t="shared" ca="1" si="114"/>
        <v>0</v>
      </c>
      <c r="Z796" s="9" t="str">
        <f ca="1">IF(Y796,COUNTIF($Y$2:$Y796,TRUE),"")</f>
        <v/>
      </c>
      <c r="AA796" s="9" t="str">
        <f t="shared" ca="1" si="115"/>
        <v/>
      </c>
      <c r="AB796" s="9" t="str">
        <f t="shared" ca="1" si="116"/>
        <v/>
      </c>
      <c r="AC796" s="9" t="str">
        <f t="shared" ca="1" si="117"/>
        <v/>
      </c>
      <c r="AD796" s="9" t="str">
        <f t="shared" ca="1" si="118"/>
        <v/>
      </c>
      <c r="AE796" s="9" t="str">
        <f t="shared" ca="1" si="119"/>
        <v/>
      </c>
      <c r="AF796" s="9" t="str">
        <f ca="1">IF(AND(Y796,AA796="ERREUR"),COUNTIF($AA$2:$AA796,"ERREUR"),"")</f>
        <v/>
      </c>
    </row>
    <row r="797" spans="23:32" ht="25" customHeight="1">
      <c r="W797" s="19">
        <f t="shared" ca="1" si="112"/>
        <v>45673</v>
      </c>
      <c r="X797" s="9" t="str">
        <f t="shared" ca="1" si="113"/>
        <v>16012025</v>
      </c>
      <c r="Y797" s="9" t="b">
        <f t="shared" ca="1" si="114"/>
        <v>0</v>
      </c>
      <c r="Z797" s="9" t="str">
        <f ca="1">IF(Y797,COUNTIF($Y$2:$Y797,TRUE),"")</f>
        <v/>
      </c>
      <c r="AA797" s="9" t="str">
        <f t="shared" ca="1" si="115"/>
        <v/>
      </c>
      <c r="AB797" s="9" t="str">
        <f t="shared" ca="1" si="116"/>
        <v/>
      </c>
      <c r="AC797" s="9" t="str">
        <f t="shared" ca="1" si="117"/>
        <v/>
      </c>
      <c r="AD797" s="9" t="str">
        <f t="shared" ca="1" si="118"/>
        <v/>
      </c>
      <c r="AE797" s="9" t="str">
        <f t="shared" ca="1" si="119"/>
        <v/>
      </c>
      <c r="AF797" s="9" t="str">
        <f ca="1">IF(AND(Y797,AA797="ERREUR"),COUNTIF($AA$2:$AA797,"ERREUR"),"")</f>
        <v/>
      </c>
    </row>
    <row r="798" spans="23:32" ht="25" customHeight="1">
      <c r="W798" s="19">
        <f t="shared" ca="1" si="112"/>
        <v>45672</v>
      </c>
      <c r="X798" s="9" t="str">
        <f t="shared" ca="1" si="113"/>
        <v>15012025</v>
      </c>
      <c r="Y798" s="9" t="b">
        <f t="shared" ca="1" si="114"/>
        <v>0</v>
      </c>
      <c r="Z798" s="9" t="str">
        <f ca="1">IF(Y798,COUNTIF($Y$2:$Y798,TRUE),"")</f>
        <v/>
      </c>
      <c r="AA798" s="9" t="str">
        <f t="shared" ca="1" si="115"/>
        <v/>
      </c>
      <c r="AB798" s="9" t="str">
        <f t="shared" ca="1" si="116"/>
        <v/>
      </c>
      <c r="AC798" s="9" t="str">
        <f t="shared" ca="1" si="117"/>
        <v/>
      </c>
      <c r="AD798" s="9" t="str">
        <f t="shared" ca="1" si="118"/>
        <v/>
      </c>
      <c r="AE798" s="9" t="str">
        <f t="shared" ca="1" si="119"/>
        <v/>
      </c>
      <c r="AF798" s="9" t="str">
        <f ca="1">IF(AND(Y798,AA798="ERREUR"),COUNTIF($AA$2:$AA798,"ERREUR"),"")</f>
        <v/>
      </c>
    </row>
    <row r="799" spans="23:32" ht="25" customHeight="1">
      <c r="W799" s="19">
        <f t="shared" ca="1" si="112"/>
        <v>45671</v>
      </c>
      <c r="X799" s="9" t="str">
        <f t="shared" ca="1" si="113"/>
        <v>14012025</v>
      </c>
      <c r="Y799" s="9" t="b">
        <f t="shared" ca="1" si="114"/>
        <v>0</v>
      </c>
      <c r="Z799" s="9" t="str">
        <f ca="1">IF(Y799,COUNTIF($Y$2:$Y799,TRUE),"")</f>
        <v/>
      </c>
      <c r="AA799" s="9" t="str">
        <f t="shared" ca="1" si="115"/>
        <v/>
      </c>
      <c r="AB799" s="9" t="str">
        <f t="shared" ca="1" si="116"/>
        <v/>
      </c>
      <c r="AC799" s="9" t="str">
        <f t="shared" ca="1" si="117"/>
        <v/>
      </c>
      <c r="AD799" s="9" t="str">
        <f t="shared" ca="1" si="118"/>
        <v/>
      </c>
      <c r="AE799" s="9" t="str">
        <f t="shared" ca="1" si="119"/>
        <v/>
      </c>
      <c r="AF799" s="9" t="str">
        <f ca="1">IF(AND(Y799,AA799="ERREUR"),COUNTIF($AA$2:$AA799,"ERREUR"),"")</f>
        <v/>
      </c>
    </row>
    <row r="800" spans="23:32" ht="25" customHeight="1">
      <c r="W800" s="19">
        <f t="shared" ca="1" si="112"/>
        <v>45670</v>
      </c>
      <c r="X800" s="9" t="str">
        <f t="shared" ca="1" si="113"/>
        <v>13012025</v>
      </c>
      <c r="Y800" s="9" t="b">
        <f t="shared" ca="1" si="114"/>
        <v>0</v>
      </c>
      <c r="Z800" s="9" t="str">
        <f ca="1">IF(Y800,COUNTIF($Y$2:$Y800,TRUE),"")</f>
        <v/>
      </c>
      <c r="AA800" s="9" t="str">
        <f t="shared" ca="1" si="115"/>
        <v/>
      </c>
      <c r="AB800" s="9" t="str">
        <f t="shared" ca="1" si="116"/>
        <v/>
      </c>
      <c r="AC800" s="9" t="str">
        <f t="shared" ca="1" si="117"/>
        <v/>
      </c>
      <c r="AD800" s="9" t="str">
        <f t="shared" ca="1" si="118"/>
        <v/>
      </c>
      <c r="AE800" s="9" t="str">
        <f t="shared" ca="1" si="119"/>
        <v/>
      </c>
      <c r="AF800" s="9" t="str">
        <f ca="1">IF(AND(Y800,AA800="ERREUR"),COUNTIF($AA$2:$AA800,"ERREUR"),"")</f>
        <v/>
      </c>
    </row>
  </sheetData>
  <sheetProtection sheet="1" objects="1" scenarios="1"/>
  <mergeCells count="16">
    <mergeCell ref="H8:H9"/>
    <mergeCell ref="L4:M4"/>
    <mergeCell ref="L11:N11"/>
    <mergeCell ref="B1:N2"/>
    <mergeCell ref="F4:G4"/>
    <mergeCell ref="F7:G7"/>
    <mergeCell ref="F5:G6"/>
    <mergeCell ref="F8:G9"/>
    <mergeCell ref="I5:I6"/>
    <mergeCell ref="I8:I9"/>
    <mergeCell ref="L6:N6"/>
    <mergeCell ref="L5:N5"/>
    <mergeCell ref="L7:N7"/>
    <mergeCell ref="L8:N8"/>
    <mergeCell ref="L9:N9"/>
    <mergeCell ref="H6:H7"/>
  </mergeCells>
  <conditionalFormatting sqref="B13:B32">
    <cfRule type="cellIs" dxfId="39" priority="1" stopIfTrue="1" operator="equal">
      <formula>"OK"</formula>
    </cfRule>
    <cfRule type="cellIs" dxfId="38" priority="2" stopIfTrue="1" operator="equal">
      <formula>"ERREUR"</formula>
    </cfRule>
  </conditionalFormatting>
  <conditionalFormatting sqref="H13:H32">
    <cfRule type="cellIs" dxfId="37" priority="3" stopIfTrue="1" operator="equal">
      <formula>"OK"</formula>
    </cfRule>
    <cfRule type="cellIs" dxfId="36" priority="4" stopIfTrue="1" operator="equal">
      <formula>"ERREUR"</formula>
    </cfRule>
  </conditionalFormatting>
  <conditionalFormatting sqref="K13:K32">
    <cfRule type="cellIs" dxfId="35" priority="5" stopIfTrue="1" operator="equal">
      <formula>"ERREUR"</formula>
    </cfRule>
  </conditionalFormatting>
  <conditionalFormatting sqref="I5">
    <cfRule type="expression" dxfId="34" priority="6" stopIfTrue="1">
      <formula>$I$5="OK"</formula>
    </cfRule>
    <cfRule type="expression" dxfId="33" priority="7" stopIfTrue="1">
      <formula>$I$5="ERREUR"</formula>
    </cfRule>
    <cfRule type="expression" dxfId="32" priority="8" stopIfTrue="1">
      <formula>$I$5="Aucune"</formula>
    </cfRule>
  </conditionalFormatting>
  <pageMargins left="0.75" right="0.75" top="1" bottom="1" header="0.5" footer="0.5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Y18"/>
  <sheetViews>
    <sheetView showGridLines="0" workbookViewId="0">
      <selection sqref="A1:E1"/>
    </sheetView>
  </sheetViews>
  <sheetFormatPr baseColWidth="10" defaultColWidth="9.1640625" defaultRowHeight="15"/>
  <cols>
    <col min="1" max="1" width="20" customWidth="1"/>
    <col min="2" max="2" width="14" customWidth="1"/>
    <col min="4" max="4" width="16" customWidth="1"/>
    <col min="5" max="5" width="12" customWidth="1"/>
  </cols>
  <sheetData>
    <row r="1" spans="1:25" ht="21" customHeight="1">
      <c r="A1" s="133" t="s">
        <v>50</v>
      </c>
      <c r="B1" s="134"/>
      <c r="C1" s="134"/>
      <c r="D1" s="134"/>
      <c r="E1" s="134"/>
    </row>
    <row r="2" spans="1:25">
      <c r="X2" t="s">
        <v>80</v>
      </c>
      <c r="Y2" t="s">
        <v>81</v>
      </c>
    </row>
    <row r="3" spans="1:25">
      <c r="A3" s="1" t="s">
        <v>51</v>
      </c>
      <c r="D3" s="1" t="s">
        <v>52</v>
      </c>
      <c r="X3">
        <v>17032026</v>
      </c>
      <c r="Y3" t="s">
        <v>82</v>
      </c>
    </row>
    <row r="4" spans="1:25">
      <c r="A4" s="2" t="s">
        <v>15</v>
      </c>
      <c r="D4" s="3" t="s">
        <v>36</v>
      </c>
      <c r="E4" s="4">
        <v>500</v>
      </c>
      <c r="X4">
        <v>18032026</v>
      </c>
      <c r="Y4" t="s">
        <v>82</v>
      </c>
    </row>
    <row r="5" spans="1:25">
      <c r="A5" s="2" t="s">
        <v>16</v>
      </c>
      <c r="D5" s="3" t="s">
        <v>36</v>
      </c>
      <c r="E5" s="4">
        <v>200</v>
      </c>
      <c r="X5">
        <v>19032026</v>
      </c>
      <c r="Y5" t="s">
        <v>82</v>
      </c>
    </row>
    <row r="6" spans="1:25">
      <c r="A6" s="2" t="s">
        <v>17</v>
      </c>
      <c r="D6" s="3" t="s">
        <v>36</v>
      </c>
      <c r="E6" s="4">
        <v>100</v>
      </c>
      <c r="X6">
        <v>20032026</v>
      </c>
      <c r="Y6" t="s">
        <v>81</v>
      </c>
    </row>
    <row r="7" spans="1:25">
      <c r="A7" s="2" t="s">
        <v>18</v>
      </c>
      <c r="D7" s="3" t="s">
        <v>36</v>
      </c>
      <c r="E7" s="4">
        <v>50</v>
      </c>
      <c r="X7">
        <v>21032026</v>
      </c>
      <c r="Y7" t="s">
        <v>82</v>
      </c>
    </row>
    <row r="8" spans="1:25">
      <c r="A8" s="2" t="s">
        <v>53</v>
      </c>
      <c r="D8" s="3" t="s">
        <v>36</v>
      </c>
      <c r="E8" s="4">
        <v>20</v>
      </c>
      <c r="X8">
        <v>22032026</v>
      </c>
      <c r="Y8" t="s">
        <v>82</v>
      </c>
    </row>
    <row r="9" spans="1:25">
      <c r="D9" s="3" t="s">
        <v>36</v>
      </c>
      <c r="E9" s="4">
        <v>10</v>
      </c>
      <c r="X9">
        <v>23032026</v>
      </c>
      <c r="Y9" t="s">
        <v>82</v>
      </c>
    </row>
    <row r="10" spans="1:25">
      <c r="D10" s="3" t="s">
        <v>36</v>
      </c>
      <c r="E10" s="4">
        <v>5</v>
      </c>
    </row>
    <row r="11" spans="1:25">
      <c r="D11" s="3" t="s">
        <v>42</v>
      </c>
      <c r="E11" s="4">
        <v>2</v>
      </c>
    </row>
    <row r="12" spans="1:25">
      <c r="D12" s="3" t="s">
        <v>42</v>
      </c>
      <c r="E12" s="4">
        <v>1</v>
      </c>
    </row>
    <row r="13" spans="1:25">
      <c r="D13" s="3" t="s">
        <v>42</v>
      </c>
      <c r="E13" s="4">
        <v>0.5</v>
      </c>
    </row>
    <row r="14" spans="1:25">
      <c r="D14" s="3" t="s">
        <v>42</v>
      </c>
      <c r="E14" s="4">
        <v>0.2</v>
      </c>
    </row>
    <row r="15" spans="1:25">
      <c r="D15" s="3" t="s">
        <v>42</v>
      </c>
      <c r="E15" s="4">
        <v>0.1</v>
      </c>
    </row>
    <row r="16" spans="1:25">
      <c r="D16" s="3" t="s">
        <v>42</v>
      </c>
      <c r="E16" s="4">
        <v>0.05</v>
      </c>
    </row>
    <row r="17" spans="4:5">
      <c r="D17" s="3" t="s">
        <v>42</v>
      </c>
      <c r="E17" s="4">
        <v>0.02</v>
      </c>
    </row>
    <row r="18" spans="4:5">
      <c r="D18" s="3" t="s">
        <v>42</v>
      </c>
      <c r="E18" s="4">
        <v>0.01</v>
      </c>
    </row>
  </sheetData>
  <sheetProtection sheet="1" objects="1" scenarios="1"/>
  <mergeCells count="1">
    <mergeCell ref="A1:E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/>
  <dimension ref="A1:DZ541"/>
  <sheetViews>
    <sheetView showGridLines="0" zoomScaleNormal="100" workbookViewId="0">
      <selection activeCell="F15" sqref="F15"/>
    </sheetView>
  </sheetViews>
  <sheetFormatPr baseColWidth="10" defaultColWidth="11.5" defaultRowHeight="15"/>
  <cols>
    <col min="1" max="1" width="0.83203125" style="10" customWidth="1"/>
    <col min="2" max="2" width="5.83203125" customWidth="1"/>
    <col min="3" max="3" width="14" style="8" customWidth="1"/>
    <col min="4" max="4" width="13" style="8" customWidth="1"/>
    <col min="5" max="5" width="22" style="8" customWidth="1"/>
    <col min="6" max="14" width="12" style="8" customWidth="1"/>
    <col min="15" max="15" width="18.1640625" style="8" customWidth="1"/>
    <col min="16" max="16" width="14" style="8" customWidth="1"/>
    <col min="17" max="17" width="18.6640625" style="8" customWidth="1"/>
    <col min="18" max="18" width="0.83203125" style="10" customWidth="1"/>
    <col min="19" max="19" width="24" style="10" customWidth="1"/>
    <col min="20" max="20" width="12" style="10" customWidth="1"/>
    <col min="21" max="21" width="9.1640625" style="10" customWidth="1"/>
    <col min="22" max="84" width="11.5" style="10"/>
    <col min="16384" max="16384" width="0.1640625" customWidth="1"/>
  </cols>
  <sheetData>
    <row r="1" spans="1:130" ht="37.5" customHeight="1">
      <c r="B1" s="10"/>
      <c r="C1" s="66"/>
      <c r="D1" s="67"/>
      <c r="E1" s="67"/>
      <c r="F1" s="152" t="s">
        <v>0</v>
      </c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96"/>
    </row>
    <row r="2" spans="1:130" s="10" customFormat="1"/>
    <row r="3" spans="1:130">
      <c r="B3" s="10"/>
      <c r="C3" s="153" t="s">
        <v>1</v>
      </c>
      <c r="D3" s="155"/>
      <c r="E3" s="10"/>
      <c r="F3" s="157" t="s">
        <v>2</v>
      </c>
      <c r="G3" s="158">
        <f>I42+J42+K42+L42</f>
        <v>0</v>
      </c>
      <c r="H3" s="10"/>
      <c r="I3" s="157" t="s">
        <v>3</v>
      </c>
      <c r="J3" s="160">
        <f>E62</f>
        <v>0</v>
      </c>
      <c r="K3" s="10"/>
      <c r="L3" s="157" t="s">
        <v>4</v>
      </c>
      <c r="M3" s="158">
        <f>F42-G42-I42-J42-K42-L42</f>
        <v>0</v>
      </c>
      <c r="N3" s="10"/>
      <c r="O3" s="157" t="s">
        <v>5</v>
      </c>
      <c r="P3" s="140" t="str">
        <f>IF(COUNTA(F11:L40,P11:P40,F47:G61,M47:M49)=0,"VIDE",IF(AND(M3=0,M60=0,COUNTIF(M11:M40,"OK")=SUMPRODUCT(--(((F11:F40&lt;&gt;"")+(G11:G40&lt;&gt;"")+(H11:H40&lt;&gt;"")+(I11:I40&lt;&gt;"")+(J11:J40&lt;&gt;"")+(K11:K40&lt;&gt;"")+(L11:L40&lt;&gt;""))&gt;0)),COUNTIF(N47:N50,"OK")=4),"OK","ERREUR"))</f>
        <v>VIDE</v>
      </c>
      <c r="Q3" s="10"/>
    </row>
    <row r="4" spans="1:130">
      <c r="B4" s="10"/>
      <c r="C4" s="154"/>
      <c r="D4" s="156"/>
      <c r="E4" s="10"/>
      <c r="F4" s="154"/>
      <c r="G4" s="159"/>
      <c r="H4" s="10"/>
      <c r="I4" s="154"/>
      <c r="J4" s="159"/>
      <c r="K4" s="10"/>
      <c r="L4" s="154"/>
      <c r="M4" s="159"/>
      <c r="N4" s="10"/>
      <c r="O4" s="154"/>
      <c r="P4" s="141"/>
      <c r="Q4" s="10"/>
    </row>
    <row r="5" spans="1:130"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</row>
    <row r="6" spans="1:130" s="8" customFormat="1" hidden="1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</row>
    <row r="7" spans="1:130" ht="0.75" customHeight="1"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</row>
    <row r="8" spans="1:130" ht="4.5" customHeight="1">
      <c r="B8" s="10"/>
      <c r="C8" s="142"/>
      <c r="D8" s="143"/>
      <c r="E8" s="143"/>
      <c r="F8" s="143"/>
      <c r="G8" s="143"/>
      <c r="H8" s="143"/>
      <c r="I8" s="143"/>
      <c r="J8" s="143"/>
      <c r="K8" s="143"/>
      <c r="L8" s="143"/>
      <c r="M8" s="143"/>
      <c r="N8" s="143"/>
      <c r="O8" s="143"/>
      <c r="P8" s="143"/>
      <c r="Q8" s="10"/>
    </row>
    <row r="9" spans="1:130" s="5" customFormat="1" ht="30" customHeight="1">
      <c r="A9" s="20"/>
      <c r="B9" s="20"/>
      <c r="C9" s="144" t="s">
        <v>6</v>
      </c>
      <c r="D9" s="145"/>
      <c r="E9" s="145"/>
      <c r="F9" s="145"/>
      <c r="G9" s="145"/>
      <c r="H9" s="145"/>
      <c r="I9" s="144" t="s">
        <v>7</v>
      </c>
      <c r="J9" s="146"/>
      <c r="K9" s="146"/>
      <c r="L9" s="146"/>
      <c r="M9" s="44"/>
      <c r="N9" s="20"/>
      <c r="O9" s="144" t="s">
        <v>8</v>
      </c>
      <c r="P9" s="146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0"/>
      <c r="CD9" s="20"/>
      <c r="CE9" s="20"/>
      <c r="CF9" s="20"/>
    </row>
    <row r="10" spans="1:130" s="7" customFormat="1" ht="33" customHeight="1">
      <c r="A10" s="21"/>
      <c r="B10" s="21"/>
      <c r="C10" s="47" t="s">
        <v>9</v>
      </c>
      <c r="D10" s="45" t="s">
        <v>10</v>
      </c>
      <c r="E10" s="45" t="s">
        <v>11</v>
      </c>
      <c r="F10" s="45" t="s">
        <v>12</v>
      </c>
      <c r="G10" s="45" t="s">
        <v>13</v>
      </c>
      <c r="H10" s="45" t="s">
        <v>14</v>
      </c>
      <c r="I10" s="45" t="s">
        <v>15</v>
      </c>
      <c r="J10" s="45" t="s">
        <v>16</v>
      </c>
      <c r="K10" s="45" t="s">
        <v>17</v>
      </c>
      <c r="L10" s="45" t="s">
        <v>18</v>
      </c>
      <c r="M10" s="45" t="s">
        <v>19</v>
      </c>
      <c r="N10" s="22"/>
      <c r="O10" s="45" t="s">
        <v>11</v>
      </c>
      <c r="P10" s="46" t="s">
        <v>20</v>
      </c>
      <c r="Q10" s="45" t="s">
        <v>79</v>
      </c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  <c r="CD10" s="21"/>
      <c r="CE10" s="21"/>
      <c r="CF10" s="21"/>
    </row>
    <row r="11" spans="1:130">
      <c r="B11" s="10"/>
      <c r="C11" s="78"/>
      <c r="D11" s="78"/>
      <c r="E11" s="78"/>
      <c r="F11" s="78"/>
      <c r="G11" s="78"/>
      <c r="H11" s="79"/>
      <c r="I11" s="80"/>
      <c r="J11" s="80"/>
      <c r="K11" s="80"/>
      <c r="L11" s="80"/>
      <c r="M11" s="50" t="str">
        <f t="shared" ref="M11:M40" si="0">IF(COUNTA(F11:L11)=0,"",IF(OR(F11="",H11=""),"ERREUR",IF(H11="ESP",IF(AND(I11=F11-G11,J11="",K11="",L11=""),"OK","ERREUR"),IF(H11="CHQ",IF(AND(J11=F11-G11,I11="",K11="",L11=""),"OK","ERREUR"),IF(H11="VIR",IF(AND(K11=F11-G11,I11="",J11="",L11=""),"OK","ERREUR"),IF(H11="CB",IF(AND(L11=F11-G11,I11="",J11="",K11=""),"OK","ERREUR"),"ERREUR"))))))</f>
        <v/>
      </c>
      <c r="N11" s="23"/>
      <c r="O11" s="75"/>
      <c r="P11" s="89"/>
      <c r="Q11" s="97"/>
    </row>
    <row r="12" spans="1:130">
      <c r="B12" s="10"/>
      <c r="C12" s="81"/>
      <c r="D12" s="82"/>
      <c r="E12" s="82"/>
      <c r="F12" s="83"/>
      <c r="G12" s="83"/>
      <c r="H12" s="82"/>
      <c r="I12" s="84"/>
      <c r="J12" s="84"/>
      <c r="K12" s="84"/>
      <c r="L12" s="84"/>
      <c r="M12" s="51" t="str">
        <f t="shared" si="0"/>
        <v/>
      </c>
      <c r="N12" s="23"/>
      <c r="O12" s="76"/>
      <c r="P12" s="77"/>
      <c r="Q12" s="94"/>
    </row>
    <row r="13" spans="1:130">
      <c r="B13" s="10"/>
      <c r="C13" s="81"/>
      <c r="D13" s="82"/>
      <c r="E13" s="82"/>
      <c r="F13" s="83"/>
      <c r="G13" s="83"/>
      <c r="H13" s="82"/>
      <c r="I13" s="84"/>
      <c r="J13" s="84"/>
      <c r="K13" s="84"/>
      <c r="L13" s="84"/>
      <c r="M13" s="51" t="str">
        <f t="shared" si="0"/>
        <v/>
      </c>
      <c r="N13" s="23"/>
      <c r="O13" s="76"/>
      <c r="P13" s="77"/>
      <c r="Q13" s="94"/>
    </row>
    <row r="14" spans="1:130">
      <c r="B14" s="10"/>
      <c r="C14" s="81"/>
      <c r="D14" s="82"/>
      <c r="E14" s="82"/>
      <c r="F14" s="83"/>
      <c r="G14" s="83"/>
      <c r="H14" s="82"/>
      <c r="I14" s="84"/>
      <c r="J14" s="84"/>
      <c r="K14" s="84"/>
      <c r="L14" s="84"/>
      <c r="M14" s="51" t="str">
        <f t="shared" si="0"/>
        <v/>
      </c>
      <c r="N14" s="23"/>
      <c r="O14" s="76"/>
      <c r="P14" s="77"/>
      <c r="Q14" s="94"/>
    </row>
    <row r="15" spans="1:130">
      <c r="B15" s="10"/>
      <c r="C15" s="81"/>
      <c r="D15" s="82"/>
      <c r="E15" s="82"/>
      <c r="F15" s="83"/>
      <c r="G15" s="83"/>
      <c r="H15" s="82"/>
      <c r="I15" s="84"/>
      <c r="J15" s="84"/>
      <c r="K15" s="84"/>
      <c r="L15" s="84"/>
      <c r="M15" s="51" t="str">
        <f t="shared" si="0"/>
        <v/>
      </c>
      <c r="N15" s="23"/>
      <c r="O15" s="76"/>
      <c r="P15" s="77"/>
      <c r="Q15" s="94"/>
    </row>
    <row r="16" spans="1:130">
      <c r="B16" s="10"/>
      <c r="C16" s="81"/>
      <c r="D16" s="82"/>
      <c r="E16" s="82"/>
      <c r="F16" s="83"/>
      <c r="G16" s="83"/>
      <c r="H16" s="82"/>
      <c r="I16" s="84"/>
      <c r="J16" s="84"/>
      <c r="K16" s="84"/>
      <c r="L16" s="84"/>
      <c r="M16" s="51" t="str">
        <f t="shared" si="0"/>
        <v/>
      </c>
      <c r="N16" s="23"/>
      <c r="O16" s="76"/>
      <c r="P16" s="77"/>
      <c r="Q16" s="94"/>
    </row>
    <row r="17" spans="2:17">
      <c r="B17" s="10"/>
      <c r="C17" s="81"/>
      <c r="D17" s="82"/>
      <c r="E17" s="82"/>
      <c r="F17" s="83"/>
      <c r="G17" s="83"/>
      <c r="H17" s="82"/>
      <c r="I17" s="84"/>
      <c r="J17" s="84"/>
      <c r="K17" s="84"/>
      <c r="L17" s="84"/>
      <c r="M17" s="51" t="str">
        <f t="shared" si="0"/>
        <v/>
      </c>
      <c r="N17" s="23"/>
      <c r="O17" s="76"/>
      <c r="P17" s="77"/>
      <c r="Q17" s="94"/>
    </row>
    <row r="18" spans="2:17">
      <c r="B18" s="10"/>
      <c r="C18" s="81"/>
      <c r="D18" s="82"/>
      <c r="E18" s="82"/>
      <c r="F18" s="83"/>
      <c r="G18" s="83"/>
      <c r="H18" s="82"/>
      <c r="I18" s="84"/>
      <c r="J18" s="84"/>
      <c r="K18" s="84"/>
      <c r="L18" s="84"/>
      <c r="M18" s="51" t="str">
        <f t="shared" si="0"/>
        <v/>
      </c>
      <c r="N18" s="23"/>
      <c r="O18" s="76"/>
      <c r="P18" s="77"/>
      <c r="Q18" s="94"/>
    </row>
    <row r="19" spans="2:17">
      <c r="B19" s="10"/>
      <c r="C19" s="81"/>
      <c r="D19" s="82"/>
      <c r="E19" s="82"/>
      <c r="F19" s="83"/>
      <c r="G19" s="83"/>
      <c r="H19" s="82"/>
      <c r="I19" s="84"/>
      <c r="J19" s="84"/>
      <c r="K19" s="84"/>
      <c r="L19" s="84"/>
      <c r="M19" s="51" t="str">
        <f t="shared" si="0"/>
        <v/>
      </c>
      <c r="N19" s="23"/>
      <c r="O19" s="76"/>
      <c r="P19" s="77"/>
      <c r="Q19" s="94"/>
    </row>
    <row r="20" spans="2:17">
      <c r="B20" s="10"/>
      <c r="C20" s="81"/>
      <c r="D20" s="82"/>
      <c r="E20" s="82"/>
      <c r="F20" s="83"/>
      <c r="G20" s="83"/>
      <c r="H20" s="82"/>
      <c r="I20" s="84"/>
      <c r="J20" s="84"/>
      <c r="K20" s="84"/>
      <c r="L20" s="84"/>
      <c r="M20" s="51" t="str">
        <f t="shared" si="0"/>
        <v/>
      </c>
      <c r="N20" s="23"/>
      <c r="O20" s="76"/>
      <c r="P20" s="77"/>
      <c r="Q20" s="94"/>
    </row>
    <row r="21" spans="2:17">
      <c r="B21" s="10"/>
      <c r="C21" s="81"/>
      <c r="D21" s="82"/>
      <c r="E21" s="82"/>
      <c r="F21" s="83"/>
      <c r="G21" s="83"/>
      <c r="H21" s="82"/>
      <c r="I21" s="84"/>
      <c r="J21" s="84"/>
      <c r="K21" s="84"/>
      <c r="L21" s="84"/>
      <c r="M21" s="51" t="str">
        <f t="shared" si="0"/>
        <v/>
      </c>
      <c r="N21" s="23"/>
      <c r="O21" s="76"/>
      <c r="P21" s="77"/>
      <c r="Q21" s="94"/>
    </row>
    <row r="22" spans="2:17">
      <c r="B22" s="10"/>
      <c r="C22" s="81"/>
      <c r="D22" s="82"/>
      <c r="E22" s="82"/>
      <c r="F22" s="83"/>
      <c r="G22" s="83"/>
      <c r="H22" s="82"/>
      <c r="I22" s="84"/>
      <c r="J22" s="84"/>
      <c r="K22" s="84"/>
      <c r="L22" s="84"/>
      <c r="M22" s="51" t="str">
        <f t="shared" si="0"/>
        <v/>
      </c>
      <c r="N22" s="23"/>
      <c r="O22" s="76"/>
      <c r="P22" s="77"/>
      <c r="Q22" s="94"/>
    </row>
    <row r="23" spans="2:17">
      <c r="B23" s="10"/>
      <c r="C23" s="81"/>
      <c r="D23" s="82"/>
      <c r="E23" s="82"/>
      <c r="F23" s="83"/>
      <c r="G23" s="83"/>
      <c r="H23" s="82"/>
      <c r="I23" s="84"/>
      <c r="J23" s="84"/>
      <c r="K23" s="84"/>
      <c r="L23" s="84"/>
      <c r="M23" s="51" t="str">
        <f t="shared" si="0"/>
        <v/>
      </c>
      <c r="N23" s="23"/>
      <c r="O23" s="76"/>
      <c r="P23" s="77"/>
      <c r="Q23" s="94"/>
    </row>
    <row r="24" spans="2:17">
      <c r="B24" s="10"/>
      <c r="C24" s="81"/>
      <c r="D24" s="82"/>
      <c r="E24" s="82"/>
      <c r="F24" s="83"/>
      <c r="G24" s="83"/>
      <c r="H24" s="82"/>
      <c r="I24" s="84"/>
      <c r="J24" s="84"/>
      <c r="K24" s="84"/>
      <c r="L24" s="84"/>
      <c r="M24" s="51" t="str">
        <f t="shared" si="0"/>
        <v/>
      </c>
      <c r="N24" s="23"/>
      <c r="O24" s="76"/>
      <c r="P24" s="77"/>
      <c r="Q24" s="94"/>
    </row>
    <row r="25" spans="2:17">
      <c r="B25" s="10"/>
      <c r="C25" s="81"/>
      <c r="D25" s="82"/>
      <c r="E25" s="82"/>
      <c r="F25" s="83"/>
      <c r="G25" s="83"/>
      <c r="H25" s="82"/>
      <c r="I25" s="84"/>
      <c r="J25" s="84"/>
      <c r="K25" s="84"/>
      <c r="L25" s="84"/>
      <c r="M25" s="51" t="str">
        <f t="shared" si="0"/>
        <v/>
      </c>
      <c r="N25" s="23"/>
      <c r="O25" s="76"/>
      <c r="P25" s="77"/>
      <c r="Q25" s="94"/>
    </row>
    <row r="26" spans="2:17">
      <c r="B26" s="10"/>
      <c r="C26" s="81"/>
      <c r="D26" s="82"/>
      <c r="E26" s="82"/>
      <c r="F26" s="83"/>
      <c r="G26" s="83"/>
      <c r="H26" s="82"/>
      <c r="I26" s="84"/>
      <c r="J26" s="84"/>
      <c r="K26" s="84"/>
      <c r="L26" s="84"/>
      <c r="M26" s="51" t="str">
        <f t="shared" si="0"/>
        <v/>
      </c>
      <c r="N26" s="23"/>
      <c r="O26" s="76"/>
      <c r="P26" s="77"/>
      <c r="Q26" s="94"/>
    </row>
    <row r="27" spans="2:17">
      <c r="B27" s="10"/>
      <c r="C27" s="81"/>
      <c r="D27" s="82"/>
      <c r="E27" s="82"/>
      <c r="F27" s="83"/>
      <c r="G27" s="83"/>
      <c r="H27" s="82"/>
      <c r="I27" s="84"/>
      <c r="J27" s="84"/>
      <c r="K27" s="84"/>
      <c r="L27" s="84"/>
      <c r="M27" s="51" t="str">
        <f t="shared" si="0"/>
        <v/>
      </c>
      <c r="N27" s="23"/>
      <c r="O27" s="76"/>
      <c r="P27" s="77"/>
      <c r="Q27" s="94"/>
    </row>
    <row r="28" spans="2:17">
      <c r="B28" s="10"/>
      <c r="C28" s="81"/>
      <c r="D28" s="82"/>
      <c r="E28" s="82"/>
      <c r="F28" s="83"/>
      <c r="G28" s="83"/>
      <c r="H28" s="82"/>
      <c r="I28" s="84"/>
      <c r="J28" s="84"/>
      <c r="K28" s="84"/>
      <c r="L28" s="84"/>
      <c r="M28" s="51" t="str">
        <f t="shared" si="0"/>
        <v/>
      </c>
      <c r="N28" s="23"/>
      <c r="O28" s="76"/>
      <c r="P28" s="77"/>
      <c r="Q28" s="94"/>
    </row>
    <row r="29" spans="2:17">
      <c r="B29" s="10"/>
      <c r="C29" s="81"/>
      <c r="D29" s="82"/>
      <c r="E29" s="82"/>
      <c r="F29" s="83"/>
      <c r="G29" s="83"/>
      <c r="H29" s="82"/>
      <c r="I29" s="84"/>
      <c r="J29" s="84"/>
      <c r="K29" s="84"/>
      <c r="L29" s="84"/>
      <c r="M29" s="51" t="str">
        <f t="shared" si="0"/>
        <v/>
      </c>
      <c r="N29" s="23"/>
      <c r="O29" s="76"/>
      <c r="P29" s="77"/>
      <c r="Q29" s="94"/>
    </row>
    <row r="30" spans="2:17">
      <c r="B30" s="10"/>
      <c r="C30" s="81"/>
      <c r="D30" s="82"/>
      <c r="E30" s="82"/>
      <c r="F30" s="83"/>
      <c r="G30" s="83"/>
      <c r="H30" s="82"/>
      <c r="I30" s="84"/>
      <c r="J30" s="84"/>
      <c r="K30" s="84"/>
      <c r="L30" s="84"/>
      <c r="M30" s="51" t="str">
        <f t="shared" si="0"/>
        <v/>
      </c>
      <c r="N30" s="23"/>
      <c r="O30" s="76"/>
      <c r="P30" s="77"/>
      <c r="Q30" s="94"/>
    </row>
    <row r="31" spans="2:17">
      <c r="B31" s="10"/>
      <c r="C31" s="81"/>
      <c r="D31" s="82"/>
      <c r="E31" s="82"/>
      <c r="F31" s="83"/>
      <c r="G31" s="83"/>
      <c r="H31" s="82"/>
      <c r="I31" s="84"/>
      <c r="J31" s="84"/>
      <c r="K31" s="84"/>
      <c r="L31" s="84"/>
      <c r="M31" s="51" t="str">
        <f t="shared" si="0"/>
        <v/>
      </c>
      <c r="N31" s="23"/>
      <c r="O31" s="76"/>
      <c r="P31" s="77"/>
      <c r="Q31" s="94"/>
    </row>
    <row r="32" spans="2:17">
      <c r="B32" s="10"/>
      <c r="C32" s="81"/>
      <c r="D32" s="82"/>
      <c r="E32" s="82"/>
      <c r="F32" s="83"/>
      <c r="G32" s="83"/>
      <c r="H32" s="82"/>
      <c r="I32" s="84"/>
      <c r="J32" s="84"/>
      <c r="K32" s="84"/>
      <c r="L32" s="84"/>
      <c r="M32" s="51" t="str">
        <f t="shared" si="0"/>
        <v/>
      </c>
      <c r="N32" s="23"/>
      <c r="O32" s="76"/>
      <c r="P32" s="77"/>
      <c r="Q32" s="94"/>
    </row>
    <row r="33" spans="1:84">
      <c r="B33" s="10"/>
      <c r="C33" s="81"/>
      <c r="D33" s="82"/>
      <c r="E33" s="82"/>
      <c r="F33" s="83"/>
      <c r="G33" s="83"/>
      <c r="H33" s="82"/>
      <c r="I33" s="84"/>
      <c r="J33" s="84"/>
      <c r="K33" s="84"/>
      <c r="L33" s="84"/>
      <c r="M33" s="51" t="str">
        <f t="shared" si="0"/>
        <v/>
      </c>
      <c r="N33" s="23"/>
      <c r="O33" s="76"/>
      <c r="P33" s="77"/>
      <c r="Q33" s="94"/>
    </row>
    <row r="34" spans="1:84">
      <c r="B34" s="10"/>
      <c r="C34" s="81"/>
      <c r="D34" s="82"/>
      <c r="E34" s="82"/>
      <c r="F34" s="83"/>
      <c r="G34" s="83"/>
      <c r="H34" s="82"/>
      <c r="I34" s="84"/>
      <c r="J34" s="84"/>
      <c r="K34" s="84"/>
      <c r="L34" s="84"/>
      <c r="M34" s="51" t="str">
        <f t="shared" si="0"/>
        <v/>
      </c>
      <c r="N34" s="23"/>
      <c r="O34" s="76"/>
      <c r="P34" s="77"/>
      <c r="Q34" s="94"/>
    </row>
    <row r="35" spans="1:84">
      <c r="B35" s="10"/>
      <c r="C35" s="81"/>
      <c r="D35" s="82"/>
      <c r="E35" s="82"/>
      <c r="F35" s="83"/>
      <c r="G35" s="83"/>
      <c r="H35" s="82"/>
      <c r="I35" s="84"/>
      <c r="J35" s="84"/>
      <c r="K35" s="84"/>
      <c r="L35" s="84"/>
      <c r="M35" s="51" t="str">
        <f t="shared" si="0"/>
        <v/>
      </c>
      <c r="N35" s="23"/>
      <c r="O35" s="76"/>
      <c r="P35" s="77"/>
      <c r="Q35" s="94"/>
    </row>
    <row r="36" spans="1:84">
      <c r="B36" s="10"/>
      <c r="C36" s="81"/>
      <c r="D36" s="82"/>
      <c r="E36" s="82"/>
      <c r="F36" s="83"/>
      <c r="G36" s="83"/>
      <c r="H36" s="82"/>
      <c r="I36" s="84"/>
      <c r="J36" s="84"/>
      <c r="K36" s="84"/>
      <c r="L36" s="84"/>
      <c r="M36" s="51" t="str">
        <f t="shared" si="0"/>
        <v/>
      </c>
      <c r="N36" s="23"/>
      <c r="O36" s="76"/>
      <c r="P36" s="77"/>
      <c r="Q36" s="94"/>
    </row>
    <row r="37" spans="1:84">
      <c r="B37" s="10"/>
      <c r="C37" s="81"/>
      <c r="D37" s="82"/>
      <c r="E37" s="82"/>
      <c r="F37" s="83"/>
      <c r="G37" s="83"/>
      <c r="H37" s="82"/>
      <c r="I37" s="84"/>
      <c r="J37" s="84"/>
      <c r="K37" s="84"/>
      <c r="L37" s="84"/>
      <c r="M37" s="51" t="str">
        <f t="shared" si="0"/>
        <v/>
      </c>
      <c r="N37" s="23"/>
      <c r="O37" s="76"/>
      <c r="P37" s="77"/>
      <c r="Q37" s="94"/>
    </row>
    <row r="38" spans="1:84">
      <c r="B38" s="10"/>
      <c r="C38" s="81"/>
      <c r="D38" s="82"/>
      <c r="E38" s="82"/>
      <c r="F38" s="83"/>
      <c r="G38" s="83"/>
      <c r="H38" s="82"/>
      <c r="I38" s="84"/>
      <c r="J38" s="84"/>
      <c r="K38" s="84"/>
      <c r="L38" s="84"/>
      <c r="M38" s="51" t="str">
        <f t="shared" si="0"/>
        <v/>
      </c>
      <c r="N38" s="23"/>
      <c r="O38" s="76"/>
      <c r="P38" s="77"/>
      <c r="Q38" s="94"/>
    </row>
    <row r="39" spans="1:84">
      <c r="B39" s="10"/>
      <c r="C39" s="81"/>
      <c r="D39" s="82"/>
      <c r="E39" s="82"/>
      <c r="F39" s="83"/>
      <c r="G39" s="83"/>
      <c r="H39" s="82"/>
      <c r="I39" s="84"/>
      <c r="J39" s="84"/>
      <c r="K39" s="84"/>
      <c r="L39" s="84"/>
      <c r="M39" s="51" t="str">
        <f t="shared" si="0"/>
        <v/>
      </c>
      <c r="N39" s="23"/>
      <c r="O39" s="76"/>
      <c r="P39" s="77"/>
      <c r="Q39" s="94"/>
    </row>
    <row r="40" spans="1:84">
      <c r="B40" s="10"/>
      <c r="C40" s="85"/>
      <c r="D40" s="86"/>
      <c r="E40" s="86"/>
      <c r="F40" s="87"/>
      <c r="G40" s="87"/>
      <c r="H40" s="86"/>
      <c r="I40" s="88"/>
      <c r="J40" s="88"/>
      <c r="K40" s="88"/>
      <c r="L40" s="88"/>
      <c r="M40" s="52" t="str">
        <f t="shared" si="0"/>
        <v/>
      </c>
      <c r="N40" s="23"/>
      <c r="O40" s="76"/>
      <c r="P40" s="77"/>
      <c r="Q40" s="95"/>
    </row>
    <row r="41" spans="1:84">
      <c r="B41" s="10"/>
      <c r="C41" s="10"/>
      <c r="D41" s="10"/>
      <c r="E41" s="10"/>
      <c r="F41" s="24"/>
      <c r="G41" s="24"/>
      <c r="H41" s="10"/>
      <c r="I41" s="24"/>
      <c r="J41" s="24"/>
      <c r="K41" s="24"/>
      <c r="L41" s="24"/>
      <c r="M41" s="24"/>
      <c r="N41" s="24"/>
      <c r="O41" s="10"/>
      <c r="P41" s="24"/>
      <c r="Q41" s="10"/>
    </row>
    <row r="42" spans="1:84" s="6" customFormat="1" ht="20" customHeight="1">
      <c r="A42" s="25"/>
      <c r="B42" s="25"/>
      <c r="C42" s="53" t="s">
        <v>21</v>
      </c>
      <c r="D42" s="54"/>
      <c r="E42" s="55"/>
      <c r="F42" s="90">
        <f>SUM(F11:F40)</f>
        <v>0</v>
      </c>
      <c r="G42" s="90">
        <f>SUM(G11:G40)</f>
        <v>0</v>
      </c>
      <c r="H42" s="91"/>
      <c r="I42" s="90">
        <f>SUM(I11:I40)</f>
        <v>0</v>
      </c>
      <c r="J42" s="90">
        <f>SUM(J11:J40)</f>
        <v>0</v>
      </c>
      <c r="K42" s="90">
        <f>SUM(K11:K40)</f>
        <v>0</v>
      </c>
      <c r="L42" s="90">
        <f>SUM(L11:L40)</f>
        <v>0</v>
      </c>
      <c r="M42" s="33"/>
      <c r="N42" s="33"/>
      <c r="O42" s="53" t="s">
        <v>22</v>
      </c>
      <c r="P42" s="90">
        <f>SUM(P11:P40)</f>
        <v>0</v>
      </c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</row>
    <row r="43" spans="1:84">
      <c r="B43" s="10"/>
      <c r="C43" s="31"/>
      <c r="D43" s="31"/>
      <c r="E43" s="31"/>
      <c r="F43" s="32"/>
      <c r="G43" s="32"/>
      <c r="H43" s="31"/>
      <c r="I43" s="32"/>
      <c r="J43" s="32"/>
      <c r="K43" s="32"/>
      <c r="L43" s="32"/>
      <c r="M43" s="32"/>
      <c r="N43" s="32"/>
      <c r="O43" s="31"/>
      <c r="P43" s="32"/>
      <c r="Q43" s="10"/>
    </row>
    <row r="44" spans="1:84"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</row>
    <row r="45" spans="1:84" ht="30" customHeight="1">
      <c r="B45" s="10"/>
      <c r="C45" s="147" t="s">
        <v>23</v>
      </c>
      <c r="D45" s="148"/>
      <c r="E45" s="148"/>
      <c r="F45" s="148"/>
      <c r="G45" s="148"/>
      <c r="H45" s="148"/>
      <c r="I45" s="148"/>
      <c r="J45" s="10"/>
      <c r="K45" s="149" t="s">
        <v>24</v>
      </c>
      <c r="L45" s="150"/>
      <c r="M45" s="150"/>
      <c r="N45" s="151"/>
      <c r="O45" s="10"/>
      <c r="P45" s="10"/>
      <c r="Q45" s="10"/>
    </row>
    <row r="46" spans="1:84" s="6" customFormat="1" ht="35" customHeight="1">
      <c r="A46" s="25"/>
      <c r="B46" s="25"/>
      <c r="C46" s="40" t="s">
        <v>25</v>
      </c>
      <c r="D46" s="40" t="s">
        <v>26</v>
      </c>
      <c r="E46" s="40" t="s">
        <v>27</v>
      </c>
      <c r="F46" s="41" t="s">
        <v>28</v>
      </c>
      <c r="G46" s="42" t="s">
        <v>29</v>
      </c>
      <c r="H46" s="42" t="s">
        <v>30</v>
      </c>
      <c r="I46" s="42" t="s">
        <v>31</v>
      </c>
      <c r="J46" s="25"/>
      <c r="K46" s="40" t="s">
        <v>32</v>
      </c>
      <c r="L46" s="40" t="s">
        <v>33</v>
      </c>
      <c r="M46" s="40" t="s">
        <v>34</v>
      </c>
      <c r="N46" s="40" t="s">
        <v>35</v>
      </c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</row>
    <row r="47" spans="1:84" s="5" customFormat="1" ht="20" customHeight="1">
      <c r="A47" s="20"/>
      <c r="B47" s="20"/>
      <c r="C47" s="62" t="s">
        <v>36</v>
      </c>
      <c r="D47" s="63">
        <v>500</v>
      </c>
      <c r="E47" s="60">
        <v>0</v>
      </c>
      <c r="F47" s="68"/>
      <c r="G47" s="68"/>
      <c r="H47" s="57">
        <f t="shared" ref="H47:H61" si="1">F47*D47</f>
        <v>0</v>
      </c>
      <c r="I47" s="57">
        <f t="shared" ref="I47:I61" si="2">G47*D47</f>
        <v>0</v>
      </c>
      <c r="J47" s="20"/>
      <c r="K47" s="48" t="s">
        <v>37</v>
      </c>
      <c r="L47" s="100">
        <f>J42</f>
        <v>0</v>
      </c>
      <c r="M47" s="92"/>
      <c r="N47" s="43" t="str">
        <f>IF(M47-L47=0,"OK",M47-L47)</f>
        <v>OK</v>
      </c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  <c r="BO47" s="20"/>
      <c r="BP47" s="20"/>
      <c r="BQ47" s="20"/>
      <c r="BR47" s="20"/>
      <c r="BS47" s="20"/>
      <c r="BT47" s="20"/>
      <c r="BU47" s="20"/>
      <c r="BV47" s="20"/>
      <c r="BW47" s="20"/>
      <c r="BX47" s="20"/>
      <c r="BY47" s="20"/>
      <c r="BZ47" s="20"/>
      <c r="CA47" s="20"/>
      <c r="CB47" s="20"/>
      <c r="CC47" s="20"/>
      <c r="CD47" s="20"/>
      <c r="CE47" s="20"/>
      <c r="CF47" s="20"/>
    </row>
    <row r="48" spans="1:84" s="5" customFormat="1" ht="20" customHeight="1">
      <c r="A48" s="20"/>
      <c r="B48" s="20"/>
      <c r="C48" s="64" t="s">
        <v>36</v>
      </c>
      <c r="D48" s="56">
        <v>200</v>
      </c>
      <c r="E48" s="61">
        <v>0</v>
      </c>
      <c r="F48" s="69"/>
      <c r="G48" s="69"/>
      <c r="H48" s="58">
        <f t="shared" si="1"/>
        <v>0</v>
      </c>
      <c r="I48" s="58">
        <f t="shared" si="2"/>
        <v>0</v>
      </c>
      <c r="J48" s="20"/>
      <c r="K48" s="49" t="s">
        <v>38</v>
      </c>
      <c r="L48" s="101">
        <f>K42</f>
        <v>0</v>
      </c>
      <c r="M48" s="93"/>
      <c r="N48" s="39" t="str">
        <f>IF(M48-L48=0,"OK",M48-L48)</f>
        <v>OK</v>
      </c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  <c r="BO48" s="20"/>
      <c r="BP48" s="20"/>
      <c r="BQ48" s="20"/>
      <c r="BR48" s="20"/>
      <c r="BS48" s="20"/>
      <c r="BT48" s="20"/>
      <c r="BU48" s="20"/>
      <c r="BV48" s="20"/>
      <c r="BW48" s="20"/>
      <c r="BX48" s="20"/>
      <c r="BY48" s="20"/>
      <c r="BZ48" s="20"/>
      <c r="CA48" s="20"/>
      <c r="CB48" s="20"/>
      <c r="CC48" s="20"/>
      <c r="CD48" s="20"/>
      <c r="CE48" s="20"/>
      <c r="CF48" s="20"/>
    </row>
    <row r="49" spans="1:84" s="5" customFormat="1" ht="20" customHeight="1">
      <c r="A49" s="20"/>
      <c r="B49" s="20"/>
      <c r="C49" s="64" t="s">
        <v>36</v>
      </c>
      <c r="D49" s="56">
        <v>100</v>
      </c>
      <c r="E49" s="61">
        <v>0</v>
      </c>
      <c r="F49" s="69"/>
      <c r="G49" s="69"/>
      <c r="H49" s="58">
        <f t="shared" si="1"/>
        <v>0</v>
      </c>
      <c r="I49" s="58">
        <f t="shared" si="2"/>
        <v>0</v>
      </c>
      <c r="J49" s="20"/>
      <c r="K49" s="49" t="s">
        <v>39</v>
      </c>
      <c r="L49" s="101">
        <f>L42</f>
        <v>0</v>
      </c>
      <c r="M49" s="93"/>
      <c r="N49" s="39" t="str">
        <f>IF(M49-L49=0,"OK",M49-L49)</f>
        <v>OK</v>
      </c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0"/>
      <c r="BP49" s="20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B49" s="20"/>
      <c r="CC49" s="20"/>
      <c r="CD49" s="20"/>
      <c r="CE49" s="20"/>
      <c r="CF49" s="20"/>
    </row>
    <row r="50" spans="1:84" s="5" customFormat="1" ht="20" customHeight="1">
      <c r="A50" s="20"/>
      <c r="B50" s="20"/>
      <c r="C50" s="64" t="s">
        <v>36</v>
      </c>
      <c r="D50" s="56">
        <v>50</v>
      </c>
      <c r="E50" s="61">
        <v>0</v>
      </c>
      <c r="F50" s="69"/>
      <c r="G50" s="69"/>
      <c r="H50" s="58">
        <f t="shared" si="1"/>
        <v>0</v>
      </c>
      <c r="I50" s="58">
        <f t="shared" si="2"/>
        <v>0</v>
      </c>
      <c r="J50" s="20"/>
      <c r="K50" s="49" t="s">
        <v>40</v>
      </c>
      <c r="L50" s="101">
        <f>M58</f>
        <v>0</v>
      </c>
      <c r="M50" s="101">
        <f>M59</f>
        <v>0</v>
      </c>
      <c r="N50" s="39" t="str">
        <f>IF(M50-L50=0,"OK",M50-L50)</f>
        <v>OK</v>
      </c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  <c r="BO50" s="20"/>
      <c r="BP50" s="20"/>
      <c r="BQ50" s="20"/>
      <c r="BR50" s="20"/>
      <c r="BS50" s="20"/>
      <c r="BT50" s="20"/>
      <c r="BU50" s="20"/>
      <c r="BV50" s="20"/>
      <c r="BW50" s="20"/>
      <c r="BX50" s="20"/>
      <c r="BY50" s="20"/>
      <c r="BZ50" s="20"/>
      <c r="CA50" s="20"/>
      <c r="CB50" s="20"/>
      <c r="CC50" s="20"/>
      <c r="CD50" s="20"/>
      <c r="CE50" s="20"/>
      <c r="CF50" s="20"/>
    </row>
    <row r="51" spans="1:84" s="5" customFormat="1" ht="20" customHeight="1">
      <c r="A51" s="20"/>
      <c r="B51" s="20"/>
      <c r="C51" s="64" t="s">
        <v>36</v>
      </c>
      <c r="D51" s="56">
        <v>20</v>
      </c>
      <c r="E51" s="61">
        <v>0</v>
      </c>
      <c r="F51" s="69"/>
      <c r="G51" s="69"/>
      <c r="H51" s="58">
        <f t="shared" si="1"/>
        <v>0</v>
      </c>
      <c r="I51" s="58">
        <f t="shared" si="2"/>
        <v>0</v>
      </c>
      <c r="J51" s="20"/>
      <c r="K51" s="26"/>
      <c r="L51" s="26"/>
      <c r="M51" s="26"/>
      <c r="N51" s="26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  <c r="BO51" s="20"/>
      <c r="BP51" s="20"/>
      <c r="BQ51" s="20"/>
      <c r="BR51" s="20"/>
      <c r="BS51" s="20"/>
      <c r="BT51" s="20"/>
      <c r="BU51" s="20"/>
      <c r="BV51" s="20"/>
      <c r="BW51" s="20"/>
      <c r="BX51" s="20"/>
      <c r="BY51" s="20"/>
      <c r="BZ51" s="20"/>
      <c r="CA51" s="20"/>
      <c r="CB51" s="20"/>
      <c r="CC51" s="20"/>
      <c r="CD51" s="20"/>
      <c r="CE51" s="20"/>
      <c r="CF51" s="20"/>
    </row>
    <row r="52" spans="1:84" s="5" customFormat="1" ht="20" customHeight="1">
      <c r="A52" s="20"/>
      <c r="B52" s="20"/>
      <c r="C52" s="64" t="s">
        <v>36</v>
      </c>
      <c r="D52" s="56">
        <v>10</v>
      </c>
      <c r="E52" s="61">
        <v>0</v>
      </c>
      <c r="F52" s="69"/>
      <c r="G52" s="69"/>
      <c r="H52" s="58">
        <f t="shared" si="1"/>
        <v>0</v>
      </c>
      <c r="I52" s="58">
        <f t="shared" si="2"/>
        <v>0</v>
      </c>
      <c r="J52" s="20"/>
      <c r="K52" s="138" t="s">
        <v>41</v>
      </c>
      <c r="L52" s="139"/>
      <c r="M52" s="139"/>
      <c r="N52" s="26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  <c r="BO52" s="20"/>
      <c r="BP52" s="20"/>
      <c r="BQ52" s="20"/>
      <c r="BR52" s="20"/>
      <c r="BS52" s="20"/>
      <c r="BT52" s="20"/>
      <c r="BU52" s="20"/>
      <c r="BV52" s="20"/>
      <c r="BW52" s="20"/>
      <c r="BX52" s="20"/>
      <c r="BY52" s="20"/>
      <c r="BZ52" s="20"/>
      <c r="CA52" s="20"/>
      <c r="CB52" s="20"/>
      <c r="CC52" s="20"/>
      <c r="CD52" s="20"/>
    </row>
    <row r="53" spans="1:84" s="5" customFormat="1" ht="20" customHeight="1">
      <c r="A53" s="20"/>
      <c r="B53" s="20"/>
      <c r="C53" s="64" t="s">
        <v>36</v>
      </c>
      <c r="D53" s="56">
        <v>5</v>
      </c>
      <c r="E53" s="61">
        <v>0</v>
      </c>
      <c r="F53" s="69"/>
      <c r="G53" s="69"/>
      <c r="H53" s="58">
        <f t="shared" si="1"/>
        <v>0</v>
      </c>
      <c r="I53" s="58">
        <f t="shared" si="2"/>
        <v>0</v>
      </c>
      <c r="J53" s="20"/>
      <c r="K53" s="139"/>
      <c r="L53" s="139"/>
      <c r="M53" s="139"/>
      <c r="N53" s="26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  <c r="BO53" s="20"/>
      <c r="BP53" s="20"/>
      <c r="BQ53" s="20"/>
      <c r="BR53" s="20"/>
      <c r="BS53" s="20"/>
      <c r="BT53" s="20"/>
      <c r="BU53" s="20"/>
      <c r="BV53" s="20"/>
      <c r="BW53" s="20"/>
      <c r="BX53" s="20"/>
      <c r="BY53" s="20"/>
      <c r="BZ53" s="20"/>
      <c r="CA53" s="20"/>
      <c r="CB53" s="20"/>
      <c r="CC53" s="20"/>
      <c r="CD53" s="20"/>
    </row>
    <row r="54" spans="1:84" s="5" customFormat="1" ht="20" customHeight="1">
      <c r="A54" s="20"/>
      <c r="B54" s="20"/>
      <c r="C54" s="64" t="s">
        <v>42</v>
      </c>
      <c r="D54" s="56">
        <v>2</v>
      </c>
      <c r="E54" s="61">
        <v>0</v>
      </c>
      <c r="F54" s="69"/>
      <c r="G54" s="69"/>
      <c r="H54" s="58">
        <f t="shared" si="1"/>
        <v>0</v>
      </c>
      <c r="I54" s="58">
        <f t="shared" si="2"/>
        <v>0</v>
      </c>
      <c r="J54" s="20"/>
      <c r="K54" s="135" t="s">
        <v>43</v>
      </c>
      <c r="L54" s="136"/>
      <c r="M54" s="99">
        <f>E62</f>
        <v>0</v>
      </c>
      <c r="N54" s="26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  <c r="BO54" s="20"/>
      <c r="BP54" s="20"/>
      <c r="BQ54" s="20"/>
      <c r="BR54" s="20"/>
      <c r="BS54" s="20"/>
      <c r="BT54" s="20"/>
      <c r="BU54" s="20"/>
      <c r="BV54" s="20"/>
      <c r="BW54" s="20"/>
      <c r="BX54" s="20"/>
      <c r="BY54" s="20"/>
      <c r="BZ54" s="20"/>
      <c r="CA54" s="20"/>
      <c r="CB54" s="20"/>
      <c r="CC54" s="20"/>
      <c r="CD54" s="20"/>
    </row>
    <row r="55" spans="1:84" s="5" customFormat="1" ht="20" customHeight="1">
      <c r="A55" s="20"/>
      <c r="B55" s="20"/>
      <c r="C55" s="64" t="s">
        <v>42</v>
      </c>
      <c r="D55" s="56">
        <v>1</v>
      </c>
      <c r="E55" s="61">
        <v>0</v>
      </c>
      <c r="F55" s="69"/>
      <c r="G55" s="69"/>
      <c r="H55" s="58">
        <f t="shared" si="1"/>
        <v>0</v>
      </c>
      <c r="I55" s="58">
        <f t="shared" si="2"/>
        <v>0</v>
      </c>
      <c r="J55" s="20"/>
      <c r="K55" s="135" t="s">
        <v>44</v>
      </c>
      <c r="L55" s="136"/>
      <c r="M55" s="99">
        <f>I42</f>
        <v>0</v>
      </c>
      <c r="N55" s="26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  <c r="BO55" s="20"/>
      <c r="BP55" s="20"/>
      <c r="BQ55" s="20"/>
      <c r="BR55" s="20"/>
      <c r="BS55" s="20"/>
      <c r="BT55" s="20"/>
      <c r="BU55" s="20"/>
      <c r="BV55" s="20"/>
      <c r="BW55" s="20"/>
      <c r="BX55" s="20"/>
      <c r="BY55" s="20"/>
      <c r="BZ55" s="20"/>
      <c r="CA55" s="20"/>
      <c r="CB55" s="20"/>
      <c r="CC55" s="20"/>
      <c r="CD55" s="20"/>
    </row>
    <row r="56" spans="1:84" s="5" customFormat="1" ht="20" customHeight="1">
      <c r="A56" s="20"/>
      <c r="B56" s="20"/>
      <c r="C56" s="64" t="s">
        <v>42</v>
      </c>
      <c r="D56" s="56">
        <v>0.5</v>
      </c>
      <c r="E56" s="61">
        <v>0</v>
      </c>
      <c r="F56" s="69"/>
      <c r="G56" s="69"/>
      <c r="H56" s="58">
        <f t="shared" si="1"/>
        <v>0</v>
      </c>
      <c r="I56" s="58">
        <f t="shared" si="2"/>
        <v>0</v>
      </c>
      <c r="J56" s="20"/>
      <c r="K56" s="135" t="s">
        <v>45</v>
      </c>
      <c r="L56" s="136"/>
      <c r="M56" s="99">
        <f>P42</f>
        <v>0</v>
      </c>
      <c r="N56" s="26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  <c r="BO56" s="20"/>
      <c r="BP56" s="20"/>
      <c r="BQ56" s="20"/>
      <c r="BR56" s="20"/>
      <c r="BS56" s="20"/>
      <c r="BT56" s="20"/>
      <c r="BU56" s="20"/>
      <c r="BV56" s="20"/>
      <c r="BW56" s="20"/>
      <c r="BX56" s="20"/>
      <c r="BY56" s="20"/>
      <c r="BZ56" s="20"/>
      <c r="CA56" s="20"/>
      <c r="CB56" s="20"/>
      <c r="CC56" s="20"/>
      <c r="CD56" s="20"/>
    </row>
    <row r="57" spans="1:84" s="5" customFormat="1" ht="20" customHeight="1">
      <c r="A57" s="20"/>
      <c r="B57" s="20"/>
      <c r="C57" s="64" t="s">
        <v>42</v>
      </c>
      <c r="D57" s="56">
        <v>0.2</v>
      </c>
      <c r="E57" s="61">
        <v>0</v>
      </c>
      <c r="F57" s="69"/>
      <c r="G57" s="69"/>
      <c r="H57" s="58">
        <f t="shared" si="1"/>
        <v>0</v>
      </c>
      <c r="I57" s="58">
        <f t="shared" si="2"/>
        <v>0</v>
      </c>
      <c r="J57" s="20"/>
      <c r="K57" s="135" t="s">
        <v>46</v>
      </c>
      <c r="L57" s="136"/>
      <c r="M57" s="99">
        <f>I62</f>
        <v>0</v>
      </c>
      <c r="N57" s="26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  <c r="BO57" s="20"/>
      <c r="BP57" s="20"/>
      <c r="BQ57" s="20"/>
      <c r="BR57" s="20"/>
      <c r="BS57" s="20"/>
      <c r="BT57" s="20"/>
      <c r="BU57" s="20"/>
      <c r="BV57" s="20"/>
      <c r="BW57" s="20"/>
      <c r="BX57" s="20"/>
      <c r="BY57" s="20"/>
      <c r="BZ57" s="20"/>
      <c r="CA57" s="20"/>
      <c r="CB57" s="20"/>
      <c r="CC57" s="20"/>
      <c r="CD57" s="20"/>
    </row>
    <row r="58" spans="1:84" s="5" customFormat="1" ht="20" customHeight="1">
      <c r="A58" s="20"/>
      <c r="B58" s="20"/>
      <c r="C58" s="64" t="s">
        <v>42</v>
      </c>
      <c r="D58" s="56">
        <v>0.1</v>
      </c>
      <c r="E58" s="61">
        <v>0</v>
      </c>
      <c r="F58" s="69"/>
      <c r="G58" s="69"/>
      <c r="H58" s="58">
        <f t="shared" si="1"/>
        <v>0</v>
      </c>
      <c r="I58" s="58">
        <f t="shared" si="2"/>
        <v>0</v>
      </c>
      <c r="J58" s="20"/>
      <c r="K58" s="135" t="s">
        <v>47</v>
      </c>
      <c r="L58" s="136"/>
      <c r="M58" s="99">
        <f>M54+M55-M56-M57</f>
        <v>0</v>
      </c>
      <c r="N58" s="26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  <c r="BO58" s="20"/>
      <c r="BP58" s="20"/>
      <c r="BQ58" s="20"/>
      <c r="BR58" s="20"/>
      <c r="BS58" s="20"/>
      <c r="BT58" s="20"/>
      <c r="BU58" s="20"/>
      <c r="BV58" s="20"/>
      <c r="BW58" s="20"/>
      <c r="BX58" s="20"/>
      <c r="BY58" s="20"/>
      <c r="BZ58" s="20"/>
      <c r="CA58" s="20"/>
      <c r="CB58" s="20"/>
      <c r="CC58" s="20"/>
      <c r="CD58" s="20"/>
    </row>
    <row r="59" spans="1:84" s="5" customFormat="1" ht="20" customHeight="1">
      <c r="A59" s="20"/>
      <c r="B59" s="20"/>
      <c r="C59" s="64" t="s">
        <v>42</v>
      </c>
      <c r="D59" s="56">
        <v>0.05</v>
      </c>
      <c r="E59" s="61">
        <v>0</v>
      </c>
      <c r="F59" s="69"/>
      <c r="G59" s="69"/>
      <c r="H59" s="58">
        <f t="shared" si="1"/>
        <v>0</v>
      </c>
      <c r="I59" s="58">
        <f t="shared" si="2"/>
        <v>0</v>
      </c>
      <c r="J59" s="20"/>
      <c r="K59" s="135" t="s">
        <v>48</v>
      </c>
      <c r="L59" s="136"/>
      <c r="M59" s="99">
        <f>H62-I62</f>
        <v>0</v>
      </c>
      <c r="N59" s="26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  <c r="BO59" s="20"/>
      <c r="BP59" s="20"/>
      <c r="BQ59" s="20"/>
      <c r="BR59" s="20"/>
      <c r="BS59" s="20"/>
      <c r="BT59" s="20"/>
      <c r="BU59" s="20"/>
      <c r="BV59" s="20"/>
      <c r="BW59" s="20"/>
      <c r="BX59" s="20"/>
      <c r="BY59" s="20"/>
      <c r="BZ59" s="20"/>
      <c r="CA59" s="20"/>
      <c r="CB59" s="20"/>
      <c r="CC59" s="20"/>
      <c r="CD59" s="20"/>
    </row>
    <row r="60" spans="1:84" s="5" customFormat="1" ht="20" customHeight="1">
      <c r="A60" s="20"/>
      <c r="B60" s="20"/>
      <c r="C60" s="64" t="s">
        <v>42</v>
      </c>
      <c r="D60" s="56">
        <v>0.02</v>
      </c>
      <c r="E60" s="61">
        <v>0</v>
      </c>
      <c r="F60" s="69"/>
      <c r="G60" s="69"/>
      <c r="H60" s="58">
        <f t="shared" si="1"/>
        <v>0</v>
      </c>
      <c r="I60" s="58">
        <f t="shared" si="2"/>
        <v>0</v>
      </c>
      <c r="J60" s="20"/>
      <c r="K60" s="137" t="s">
        <v>49</v>
      </c>
      <c r="L60" s="136"/>
      <c r="M60" s="99">
        <f>M59-M58</f>
        <v>0</v>
      </c>
      <c r="N60" s="26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  <c r="BO60" s="20"/>
      <c r="BP60" s="20"/>
      <c r="BQ60" s="20"/>
      <c r="BR60" s="20"/>
      <c r="BS60" s="20"/>
      <c r="BT60" s="20"/>
      <c r="BU60" s="20"/>
      <c r="BV60" s="20"/>
      <c r="BW60" s="20"/>
      <c r="BX60" s="20"/>
      <c r="BY60" s="20"/>
      <c r="BZ60" s="20"/>
      <c r="CA60" s="20"/>
      <c r="CB60" s="20"/>
      <c r="CC60" s="20"/>
      <c r="CD60" s="20"/>
      <c r="CE60" s="20"/>
      <c r="CF60" s="20"/>
    </row>
    <row r="61" spans="1:84" s="5" customFormat="1" ht="20" customHeight="1">
      <c r="A61" s="20"/>
      <c r="B61" s="20"/>
      <c r="C61" s="64" t="s">
        <v>42</v>
      </c>
      <c r="D61" s="56">
        <v>0.01</v>
      </c>
      <c r="E61" s="61">
        <v>0</v>
      </c>
      <c r="F61" s="69"/>
      <c r="G61" s="69"/>
      <c r="H61" s="58">
        <f t="shared" si="1"/>
        <v>0</v>
      </c>
      <c r="I61" s="58">
        <f t="shared" si="2"/>
        <v>0</v>
      </c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  <c r="BO61" s="20"/>
      <c r="BP61" s="20"/>
      <c r="BQ61" s="20"/>
      <c r="BR61" s="20"/>
      <c r="BS61" s="20"/>
      <c r="BT61" s="20"/>
      <c r="BU61" s="20"/>
      <c r="BV61" s="20"/>
      <c r="BW61" s="20"/>
      <c r="BX61" s="20"/>
      <c r="BY61" s="20"/>
      <c r="BZ61" s="20"/>
      <c r="CA61" s="20"/>
      <c r="CB61" s="20"/>
      <c r="CC61" s="20"/>
      <c r="CD61" s="20"/>
      <c r="CE61" s="20"/>
      <c r="CF61" s="20"/>
    </row>
    <row r="62" spans="1:84" s="5" customFormat="1" ht="20" customHeight="1">
      <c r="A62" s="20"/>
      <c r="B62" s="20"/>
      <c r="C62" s="65" t="s">
        <v>21</v>
      </c>
      <c r="D62" s="64"/>
      <c r="E62" s="56">
        <f>SUMPRODUCT(D47:D61,E47:E61)</f>
        <v>0</v>
      </c>
      <c r="F62" s="37"/>
      <c r="G62" s="38"/>
      <c r="H62" s="59">
        <f>SUMPRODUCT(D47:D61,F47:F61)</f>
        <v>0</v>
      </c>
      <c r="I62" s="59">
        <f>SUMPRODUCT(D47:D61,G47:G61)</f>
        <v>0</v>
      </c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  <c r="BO62" s="20"/>
      <c r="BP62" s="20"/>
      <c r="BQ62" s="20"/>
      <c r="BR62" s="20"/>
      <c r="BS62" s="20"/>
      <c r="BT62" s="20"/>
      <c r="BU62" s="20"/>
      <c r="BV62" s="20"/>
      <c r="BW62" s="20"/>
      <c r="BX62" s="20"/>
      <c r="BY62" s="20"/>
      <c r="BZ62" s="20"/>
      <c r="CA62" s="20"/>
      <c r="CB62" s="20"/>
      <c r="CC62" s="20"/>
      <c r="CD62" s="20"/>
      <c r="CE62" s="20"/>
      <c r="CF62" s="20"/>
    </row>
    <row r="63" spans="1:84" s="5" customFormat="1" ht="20" customHeight="1">
      <c r="A63" s="20"/>
      <c r="B63" s="20"/>
      <c r="C63" s="27"/>
      <c r="D63" s="28"/>
      <c r="E63" s="29"/>
      <c r="F63" s="28"/>
      <c r="G63" s="28"/>
      <c r="H63" s="30"/>
      <c r="I63" s="3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  <c r="BO63" s="20"/>
      <c r="BP63" s="20"/>
      <c r="BQ63" s="20"/>
      <c r="BR63" s="20"/>
      <c r="BS63" s="20"/>
      <c r="BT63" s="20"/>
      <c r="BU63" s="20"/>
      <c r="BV63" s="20"/>
      <c r="BW63" s="20"/>
      <c r="BX63" s="20"/>
      <c r="BY63" s="20"/>
      <c r="BZ63" s="20"/>
      <c r="CA63" s="20"/>
      <c r="CB63" s="20"/>
      <c r="CC63" s="20"/>
      <c r="CD63" s="20"/>
      <c r="CE63" s="20"/>
      <c r="CF63" s="20"/>
    </row>
    <row r="64" spans="1:84" s="10" customFormat="1">
      <c r="J64" s="20"/>
      <c r="K64" s="20"/>
      <c r="L64" s="20"/>
    </row>
    <row r="65" s="10" customFormat="1"/>
    <row r="66" s="10" customFormat="1"/>
    <row r="67" s="10" customFormat="1"/>
    <row r="68" s="10" customFormat="1"/>
    <row r="69" s="10" customFormat="1"/>
    <row r="70" s="10" customFormat="1"/>
    <row r="71" s="10" customFormat="1"/>
    <row r="72" s="10" customFormat="1"/>
    <row r="73" s="10" customFormat="1"/>
    <row r="74" s="10" customFormat="1"/>
    <row r="75" s="10" customFormat="1"/>
    <row r="76" s="10" customFormat="1"/>
    <row r="77" s="10" customFormat="1"/>
    <row r="78" s="10" customFormat="1"/>
    <row r="79" s="10" customFormat="1"/>
    <row r="80" s="10" customFormat="1"/>
    <row r="81" s="10" customFormat="1"/>
    <row r="82" s="10" customFormat="1"/>
    <row r="83" s="10" customFormat="1"/>
    <row r="84" s="10" customFormat="1"/>
    <row r="85" s="10" customFormat="1"/>
    <row r="86" s="10" customFormat="1"/>
    <row r="87" s="10" customFormat="1"/>
    <row r="88" s="10" customFormat="1"/>
    <row r="89" s="10" customFormat="1"/>
    <row r="90" s="10" customFormat="1"/>
    <row r="91" s="10" customFormat="1"/>
    <row r="92" s="10" customFormat="1"/>
    <row r="93" s="10" customFormat="1"/>
    <row r="94" s="10" customFormat="1"/>
    <row r="95" s="10" customFormat="1"/>
    <row r="96" s="10" customFormat="1"/>
    <row r="97" s="10" customFormat="1"/>
    <row r="98" s="10" customFormat="1"/>
    <row r="99" s="10" customFormat="1"/>
    <row r="100" s="10" customFormat="1"/>
    <row r="101" s="10" customFormat="1"/>
    <row r="102" s="10" customFormat="1"/>
    <row r="103" s="10" customFormat="1"/>
    <row r="104" s="10" customFormat="1"/>
    <row r="105" s="10" customFormat="1"/>
    <row r="106" s="10" customFormat="1"/>
    <row r="107" s="10" customFormat="1"/>
    <row r="108" s="10" customFormat="1"/>
    <row r="109" s="10" customFormat="1"/>
    <row r="110" s="10" customFormat="1"/>
    <row r="111" s="10" customFormat="1"/>
    <row r="112" s="10" customFormat="1"/>
    <row r="113" s="10" customFormat="1"/>
    <row r="114" s="10" customFormat="1"/>
    <row r="115" s="10" customFormat="1"/>
    <row r="116" s="10" customFormat="1"/>
    <row r="117" s="10" customFormat="1"/>
    <row r="118" s="10" customFormat="1"/>
    <row r="119" s="10" customFormat="1"/>
    <row r="120" s="10" customFormat="1"/>
    <row r="121" s="10" customFormat="1"/>
    <row r="122" s="10" customFormat="1"/>
    <row r="123" s="10" customFormat="1"/>
    <row r="124" s="10" customFormat="1"/>
    <row r="125" s="10" customFormat="1"/>
    <row r="126" s="10" customFormat="1"/>
    <row r="127" s="10" customFormat="1"/>
    <row r="128" s="10" customFormat="1"/>
    <row r="129" s="10" customFormat="1"/>
    <row r="130" s="10" customFormat="1"/>
    <row r="131" s="10" customFormat="1"/>
    <row r="132" s="10" customFormat="1"/>
    <row r="133" s="10" customFormat="1"/>
    <row r="134" s="10" customFormat="1"/>
    <row r="135" s="10" customFormat="1"/>
    <row r="136" s="10" customFormat="1"/>
    <row r="137" s="10" customFormat="1"/>
    <row r="138" s="10" customFormat="1"/>
    <row r="139" s="10" customFormat="1"/>
    <row r="140" s="10" customFormat="1"/>
    <row r="141" s="10" customFormat="1"/>
    <row r="142" s="10" customFormat="1"/>
    <row r="143" s="10" customFormat="1"/>
    <row r="144" s="10" customFormat="1"/>
    <row r="145" s="10" customFormat="1"/>
    <row r="146" s="10" customFormat="1"/>
    <row r="147" s="10" customFormat="1"/>
    <row r="148" s="10" customFormat="1"/>
    <row r="149" s="10" customFormat="1"/>
    <row r="150" s="10" customFormat="1"/>
    <row r="151" s="10" customFormat="1"/>
    <row r="152" s="10" customFormat="1"/>
    <row r="153" s="10" customFormat="1"/>
    <row r="154" s="10" customFormat="1"/>
    <row r="155" s="10" customFormat="1"/>
    <row r="156" s="10" customFormat="1"/>
    <row r="157" s="10" customFormat="1"/>
    <row r="158" s="10" customFormat="1"/>
    <row r="159" s="10" customFormat="1"/>
    <row r="160" s="10" customFormat="1"/>
    <row r="161" s="10" customFormat="1"/>
    <row r="162" s="10" customFormat="1"/>
    <row r="163" s="10" customFormat="1"/>
    <row r="164" s="10" customFormat="1"/>
    <row r="165" s="10" customFormat="1"/>
    <row r="166" s="10" customFormat="1"/>
    <row r="167" s="10" customFormat="1"/>
    <row r="168" s="10" customFormat="1"/>
    <row r="169" s="10" customFormat="1"/>
    <row r="170" s="10" customFormat="1"/>
    <row r="171" s="10" customFormat="1"/>
    <row r="172" s="10" customFormat="1"/>
    <row r="173" s="10" customFormat="1"/>
    <row r="174" s="10" customFormat="1"/>
    <row r="175" s="10" customFormat="1"/>
    <row r="176" s="10" customFormat="1"/>
    <row r="177" s="10" customFormat="1"/>
    <row r="178" s="10" customFormat="1"/>
    <row r="179" s="10" customFormat="1"/>
    <row r="180" s="10" customFormat="1"/>
    <row r="181" s="10" customFormat="1"/>
    <row r="182" s="10" customFormat="1"/>
    <row r="183" s="10" customFormat="1"/>
    <row r="184" s="10" customFormat="1"/>
    <row r="185" s="10" customFormat="1"/>
    <row r="186" s="10" customFormat="1"/>
    <row r="187" s="10" customFormat="1"/>
    <row r="188" s="10" customFormat="1"/>
    <row r="189" s="10" customFormat="1"/>
    <row r="190" s="10" customFormat="1"/>
    <row r="191" s="10" customFormat="1"/>
    <row r="192" s="10" customFormat="1"/>
    <row r="193" s="10" customFormat="1"/>
    <row r="194" s="10" customFormat="1"/>
    <row r="195" s="10" customFormat="1"/>
    <row r="196" s="10" customFormat="1"/>
    <row r="197" s="10" customFormat="1"/>
    <row r="198" s="10" customFormat="1"/>
    <row r="199" s="10" customFormat="1"/>
    <row r="200" s="10" customFormat="1"/>
    <row r="201" s="10" customFormat="1"/>
    <row r="202" s="10" customFormat="1"/>
    <row r="203" s="10" customFormat="1"/>
    <row r="204" s="10" customFormat="1"/>
    <row r="205" s="10" customFormat="1"/>
    <row r="206" s="10" customFormat="1"/>
    <row r="207" s="10" customFormat="1"/>
    <row r="208" s="10" customFormat="1"/>
    <row r="209" s="10" customFormat="1"/>
    <row r="210" s="10" customFormat="1"/>
    <row r="211" s="10" customFormat="1"/>
    <row r="212" s="10" customFormat="1"/>
    <row r="213" s="10" customFormat="1"/>
    <row r="214" s="10" customFormat="1"/>
    <row r="215" s="10" customFormat="1"/>
    <row r="216" s="10" customFormat="1"/>
    <row r="217" s="10" customFormat="1"/>
    <row r="218" s="10" customFormat="1"/>
    <row r="219" s="10" customFormat="1"/>
    <row r="220" s="10" customFormat="1"/>
    <row r="221" s="10" customFormat="1"/>
    <row r="222" s="10" customFormat="1"/>
    <row r="223" s="10" customFormat="1"/>
    <row r="224" s="10" customFormat="1"/>
    <row r="225" s="10" customFormat="1"/>
    <row r="226" s="10" customFormat="1"/>
    <row r="227" s="10" customFormat="1"/>
    <row r="228" s="10" customFormat="1"/>
    <row r="229" s="10" customFormat="1"/>
    <row r="230" s="10" customFormat="1"/>
    <row r="231" s="10" customFormat="1"/>
    <row r="232" s="10" customFormat="1"/>
    <row r="233" s="10" customFormat="1"/>
    <row r="234" s="10" customFormat="1"/>
    <row r="235" s="10" customFormat="1"/>
    <row r="236" s="10" customFormat="1"/>
    <row r="237" s="10" customFormat="1"/>
    <row r="238" s="10" customFormat="1"/>
    <row r="239" s="10" customFormat="1"/>
    <row r="240" s="10" customFormat="1"/>
    <row r="241" s="10" customFormat="1"/>
    <row r="242" s="10" customFormat="1"/>
    <row r="243" s="10" customFormat="1"/>
    <row r="244" s="10" customFormat="1"/>
    <row r="245" s="10" customFormat="1"/>
    <row r="246" s="10" customFormat="1"/>
    <row r="247" s="10" customFormat="1"/>
    <row r="248" s="10" customFormat="1"/>
    <row r="249" s="10" customFormat="1"/>
    <row r="250" s="10" customFormat="1"/>
    <row r="251" s="10" customFormat="1"/>
    <row r="252" s="10" customFormat="1"/>
    <row r="253" s="10" customFormat="1"/>
    <row r="254" s="10" customFormat="1"/>
    <row r="255" s="10" customFormat="1"/>
    <row r="256" s="10" customFormat="1"/>
    <row r="257" s="10" customFormat="1"/>
    <row r="258" s="10" customFormat="1"/>
    <row r="259" s="10" customFormat="1"/>
    <row r="260" s="10" customFormat="1"/>
    <row r="261" s="10" customFormat="1"/>
    <row r="262" s="10" customFormat="1"/>
    <row r="263" s="10" customFormat="1"/>
    <row r="264" s="10" customFormat="1"/>
    <row r="265" s="10" customFormat="1"/>
    <row r="266" s="10" customFormat="1"/>
    <row r="267" s="10" customFormat="1"/>
    <row r="268" s="10" customFormat="1"/>
    <row r="269" s="10" customFormat="1"/>
    <row r="270" s="10" customFormat="1"/>
    <row r="271" s="10" customFormat="1"/>
    <row r="272" s="10" customFormat="1"/>
    <row r="273" s="10" customFormat="1"/>
    <row r="274" s="10" customFormat="1"/>
    <row r="275" s="10" customFormat="1"/>
    <row r="276" s="10" customFormat="1"/>
    <row r="277" s="10" customFormat="1"/>
    <row r="278" s="10" customFormat="1"/>
    <row r="279" s="10" customFormat="1"/>
    <row r="280" s="10" customFormat="1"/>
    <row r="281" s="10" customFormat="1"/>
    <row r="282" s="10" customFormat="1"/>
    <row r="283" s="10" customFormat="1"/>
    <row r="284" s="10" customFormat="1"/>
    <row r="285" s="10" customFormat="1"/>
    <row r="286" s="10" customFormat="1"/>
    <row r="287" s="10" customFormat="1"/>
    <row r="288" s="10" customFormat="1"/>
    <row r="289" s="10" customFormat="1"/>
    <row r="290" s="10" customFormat="1"/>
    <row r="291" s="10" customFormat="1"/>
    <row r="292" s="10" customFormat="1"/>
    <row r="293" s="10" customFormat="1"/>
    <row r="294" s="10" customFormat="1"/>
    <row r="295" s="10" customFormat="1"/>
    <row r="296" s="10" customFormat="1"/>
    <row r="297" s="10" customFormat="1"/>
    <row r="298" s="10" customFormat="1"/>
    <row r="299" s="10" customFormat="1"/>
    <row r="300" s="10" customFormat="1"/>
    <row r="301" s="10" customFormat="1"/>
    <row r="302" s="10" customFormat="1"/>
    <row r="303" s="10" customFormat="1"/>
    <row r="304" s="10" customFormat="1"/>
    <row r="305" s="10" customFormat="1"/>
    <row r="306" s="10" customFormat="1"/>
    <row r="307" s="10" customFormat="1"/>
    <row r="308" s="10" customFormat="1"/>
    <row r="309" s="10" customFormat="1"/>
    <row r="310" s="10" customFormat="1"/>
    <row r="311" s="10" customFormat="1"/>
    <row r="312" s="10" customFormat="1"/>
    <row r="313" s="10" customFormat="1"/>
    <row r="314" s="10" customFormat="1"/>
    <row r="315" s="10" customFormat="1"/>
    <row r="316" s="10" customFormat="1"/>
    <row r="317" s="10" customFormat="1"/>
    <row r="318" s="10" customFormat="1"/>
    <row r="319" s="10" customFormat="1"/>
    <row r="320" s="10" customFormat="1"/>
    <row r="321" s="10" customFormat="1"/>
    <row r="322" s="10" customFormat="1"/>
    <row r="323" s="10" customFormat="1"/>
    <row r="324" s="10" customFormat="1"/>
    <row r="325" s="10" customFormat="1"/>
    <row r="326" s="10" customFormat="1"/>
    <row r="327" s="10" customFormat="1"/>
    <row r="328" s="10" customFormat="1"/>
    <row r="329" s="10" customFormat="1"/>
    <row r="330" s="10" customFormat="1"/>
    <row r="331" s="10" customFormat="1"/>
    <row r="332" s="10" customFormat="1"/>
    <row r="333" s="10" customFormat="1"/>
    <row r="334" s="10" customFormat="1"/>
    <row r="335" s="10" customFormat="1"/>
    <row r="336" s="10" customFormat="1"/>
    <row r="337" s="10" customFormat="1"/>
    <row r="338" s="10" customFormat="1"/>
    <row r="339" s="10" customFormat="1"/>
    <row r="340" s="10" customFormat="1"/>
    <row r="341" s="10" customFormat="1"/>
    <row r="342" s="10" customFormat="1"/>
    <row r="343" s="10" customFormat="1"/>
    <row r="344" s="10" customFormat="1"/>
    <row r="345" s="10" customFormat="1"/>
    <row r="346" s="10" customFormat="1"/>
    <row r="347" s="10" customFormat="1"/>
    <row r="348" s="10" customFormat="1"/>
    <row r="349" s="10" customFormat="1"/>
    <row r="350" s="10" customFormat="1"/>
    <row r="351" s="10" customFormat="1"/>
    <row r="352" s="10" customFormat="1"/>
    <row r="353" s="10" customFormat="1"/>
    <row r="354" s="10" customFormat="1"/>
    <row r="355" s="10" customFormat="1"/>
    <row r="356" s="10" customFormat="1"/>
    <row r="357" s="10" customFormat="1"/>
    <row r="358" s="10" customFormat="1"/>
    <row r="359" s="10" customFormat="1"/>
    <row r="360" s="10" customFormat="1"/>
    <row r="361" s="10" customFormat="1"/>
    <row r="362" s="10" customFormat="1"/>
    <row r="363" s="10" customFormat="1"/>
    <row r="364" s="10" customFormat="1"/>
    <row r="365" s="10" customFormat="1"/>
    <row r="366" s="10" customFormat="1"/>
    <row r="367" s="10" customFormat="1"/>
    <row r="368" s="10" customFormat="1"/>
    <row r="369" s="10" customFormat="1"/>
    <row r="370" s="10" customFormat="1"/>
    <row r="371" s="10" customFormat="1"/>
    <row r="372" s="10" customFormat="1"/>
    <row r="373" s="10" customFormat="1"/>
    <row r="374" s="10" customFormat="1"/>
    <row r="375" s="10" customFormat="1"/>
    <row r="376" s="10" customFormat="1"/>
    <row r="377" s="10" customFormat="1"/>
    <row r="378" s="10" customFormat="1"/>
    <row r="379" s="10" customFormat="1"/>
    <row r="380" s="10" customFormat="1"/>
    <row r="381" s="10" customFormat="1"/>
    <row r="382" s="10" customFormat="1"/>
    <row r="383" s="10" customFormat="1"/>
    <row r="384" s="10" customFormat="1"/>
    <row r="385" s="10" customFormat="1"/>
    <row r="386" s="10" customFormat="1"/>
    <row r="387" s="10" customFormat="1"/>
    <row r="388" s="10" customFormat="1"/>
    <row r="389" s="10" customFormat="1"/>
    <row r="390" s="10" customFormat="1"/>
    <row r="391" s="10" customFormat="1"/>
    <row r="392" s="10" customFormat="1"/>
    <row r="393" s="10" customFormat="1"/>
    <row r="394" s="10" customFormat="1"/>
    <row r="395" s="10" customFormat="1"/>
    <row r="396" s="10" customFormat="1"/>
    <row r="397" s="10" customFormat="1"/>
    <row r="398" s="10" customFormat="1"/>
    <row r="399" s="10" customFormat="1"/>
    <row r="400" s="10" customFormat="1"/>
    <row r="401" s="10" customFormat="1"/>
    <row r="402" s="10" customFormat="1"/>
    <row r="403" s="10" customFormat="1"/>
    <row r="404" s="10" customFormat="1"/>
    <row r="405" s="10" customFormat="1"/>
    <row r="406" s="10" customFormat="1"/>
    <row r="407" s="10" customFormat="1"/>
    <row r="408" s="10" customFormat="1"/>
    <row r="409" s="10" customFormat="1"/>
    <row r="410" s="10" customFormat="1"/>
    <row r="411" s="10" customFormat="1"/>
    <row r="412" s="10" customFormat="1"/>
    <row r="413" s="10" customFormat="1"/>
    <row r="414" s="10" customFormat="1"/>
    <row r="415" s="10" customFormat="1"/>
    <row r="416" s="10" customFormat="1"/>
    <row r="417" s="10" customFormat="1"/>
    <row r="418" s="10" customFormat="1"/>
    <row r="419" s="10" customFormat="1"/>
    <row r="420" s="10" customFormat="1"/>
    <row r="421" s="10" customFormat="1"/>
    <row r="422" s="10" customFormat="1"/>
    <row r="423" s="10" customFormat="1"/>
    <row r="424" s="10" customFormat="1"/>
    <row r="425" s="10" customFormat="1"/>
    <row r="426" s="10" customFormat="1"/>
    <row r="427" s="10" customFormat="1"/>
    <row r="428" s="10" customFormat="1"/>
    <row r="429" s="10" customFormat="1"/>
    <row r="430" s="10" customFormat="1"/>
    <row r="431" s="10" customFormat="1"/>
    <row r="432" s="10" customFormat="1"/>
    <row r="433" s="10" customFormat="1"/>
    <row r="434" s="10" customFormat="1"/>
    <row r="435" s="10" customFormat="1"/>
    <row r="436" s="10" customFormat="1"/>
    <row r="437" s="10" customFormat="1"/>
    <row r="438" s="10" customFormat="1"/>
    <row r="439" s="10" customFormat="1"/>
    <row r="440" s="10" customFormat="1"/>
    <row r="441" s="10" customFormat="1"/>
    <row r="442" s="10" customFormat="1"/>
    <row r="443" s="10" customFormat="1"/>
    <row r="444" s="10" customFormat="1"/>
    <row r="445" s="10" customFormat="1"/>
    <row r="446" s="10" customFormat="1"/>
    <row r="447" s="10" customFormat="1"/>
    <row r="448" s="10" customFormat="1"/>
    <row r="449" s="10" customFormat="1"/>
    <row r="450" s="10" customFormat="1"/>
    <row r="451" s="10" customFormat="1"/>
    <row r="452" s="10" customFormat="1"/>
    <row r="453" s="10" customFormat="1"/>
    <row r="454" s="10" customFormat="1"/>
    <row r="455" s="10" customFormat="1"/>
    <row r="456" s="10" customFormat="1"/>
    <row r="457" s="10" customFormat="1"/>
    <row r="458" s="10" customFormat="1"/>
    <row r="459" s="10" customFormat="1"/>
    <row r="460" s="10" customFormat="1"/>
    <row r="461" s="10" customFormat="1"/>
    <row r="462" s="10" customFormat="1"/>
    <row r="463" s="10" customFormat="1"/>
    <row r="464" s="10" customFormat="1"/>
    <row r="465" s="10" customFormat="1"/>
    <row r="466" s="10" customFormat="1"/>
    <row r="467" s="10" customFormat="1"/>
    <row r="468" s="10" customFormat="1"/>
    <row r="469" s="10" customFormat="1"/>
    <row r="470" s="10" customFormat="1"/>
    <row r="471" s="10" customFormat="1"/>
    <row r="472" s="10" customFormat="1"/>
    <row r="473" s="10" customFormat="1"/>
    <row r="474" s="10" customFormat="1"/>
    <row r="475" s="10" customFormat="1"/>
    <row r="476" s="10" customFormat="1"/>
    <row r="477" s="10" customFormat="1"/>
    <row r="478" s="10" customFormat="1"/>
    <row r="479" s="10" customFormat="1"/>
    <row r="480" s="10" customFormat="1"/>
    <row r="481" s="10" customFormat="1"/>
    <row r="482" s="10" customFormat="1"/>
    <row r="483" s="10" customFormat="1"/>
    <row r="484" s="10" customFormat="1"/>
    <row r="485" s="10" customFormat="1"/>
    <row r="486" s="10" customFormat="1"/>
    <row r="487" s="10" customFormat="1"/>
    <row r="488" s="10" customFormat="1"/>
    <row r="489" s="10" customFormat="1"/>
    <row r="490" s="10" customFormat="1"/>
    <row r="491" s="10" customFormat="1"/>
    <row r="492" s="10" customFormat="1"/>
    <row r="493" s="10" customFormat="1"/>
    <row r="494" s="10" customFormat="1"/>
    <row r="495" s="10" customFormat="1"/>
    <row r="496" s="10" customFormat="1"/>
    <row r="497" s="10" customFormat="1"/>
    <row r="498" s="10" customFormat="1"/>
    <row r="499" s="10" customFormat="1"/>
    <row r="500" s="10" customFormat="1"/>
    <row r="501" s="10" customFormat="1"/>
    <row r="502" s="10" customFormat="1"/>
    <row r="503" s="10" customFormat="1"/>
    <row r="504" s="10" customFormat="1"/>
    <row r="505" s="10" customFormat="1"/>
    <row r="506" s="10" customFormat="1"/>
    <row r="507" s="10" customFormat="1"/>
    <row r="508" s="10" customFormat="1"/>
    <row r="509" s="10" customFormat="1"/>
    <row r="510" s="10" customFormat="1"/>
    <row r="511" s="10" customFormat="1"/>
    <row r="512" s="10" customFormat="1"/>
    <row r="513" s="10" customFormat="1"/>
    <row r="514" s="10" customFormat="1"/>
    <row r="515" s="10" customFormat="1"/>
    <row r="516" s="10" customFormat="1"/>
    <row r="517" s="10" customFormat="1"/>
    <row r="518" s="10" customFormat="1"/>
    <row r="519" s="10" customFormat="1"/>
    <row r="520" s="10" customFormat="1"/>
    <row r="521" s="10" customFormat="1"/>
    <row r="522" s="10" customFormat="1"/>
    <row r="523" s="10" customFormat="1"/>
    <row r="524" s="10" customFormat="1"/>
    <row r="525" s="10" customFormat="1"/>
    <row r="526" s="10" customFormat="1"/>
    <row r="527" s="10" customFormat="1"/>
    <row r="528" s="10" customFormat="1"/>
    <row r="529" s="10" customFormat="1"/>
    <row r="530" s="10" customFormat="1"/>
    <row r="531" s="10" customFormat="1"/>
    <row r="532" s="10" customFormat="1"/>
    <row r="533" s="10" customFormat="1"/>
    <row r="534" s="10" customFormat="1"/>
    <row r="535" s="10" customFormat="1"/>
    <row r="536" s="10" customFormat="1"/>
    <row r="537" s="10" customFormat="1"/>
    <row r="538" s="10" customFormat="1"/>
    <row r="539" s="10" customFormat="1"/>
    <row r="540" s="10" customFormat="1"/>
    <row r="541" s="10" customFormat="1"/>
  </sheetData>
  <sheetProtection sheet="1" objects="1" scenarios="1" selectLockedCells="1"/>
  <mergeCells count="25">
    <mergeCell ref="F1:P1"/>
    <mergeCell ref="F3:F4"/>
    <mergeCell ref="O9:P9"/>
    <mergeCell ref="I9:L9"/>
    <mergeCell ref="G3:G4"/>
    <mergeCell ref="M3:M4"/>
    <mergeCell ref="I3:I4"/>
    <mergeCell ref="P3:P4"/>
    <mergeCell ref="C9:H9"/>
    <mergeCell ref="K55:L55"/>
    <mergeCell ref="K54:L54"/>
    <mergeCell ref="K60:L60"/>
    <mergeCell ref="K59:L59"/>
    <mergeCell ref="D3:D4"/>
    <mergeCell ref="K56:L56"/>
    <mergeCell ref="K58:L58"/>
    <mergeCell ref="C45:I45"/>
    <mergeCell ref="K45:N45"/>
    <mergeCell ref="J3:J4"/>
    <mergeCell ref="C8:P8"/>
    <mergeCell ref="C3:C4"/>
    <mergeCell ref="O3:O4"/>
    <mergeCell ref="K52:M53"/>
    <mergeCell ref="K57:L57"/>
    <mergeCell ref="L3:L4"/>
  </mergeCells>
  <conditionalFormatting sqref="M11:M40">
    <cfRule type="expression" dxfId="31" priority="5">
      <formula>$M11="OK"</formula>
    </cfRule>
    <cfRule type="expression" dxfId="30" priority="6">
      <formula>$M11="ERREUR"</formula>
    </cfRule>
  </conditionalFormatting>
  <conditionalFormatting sqref="P3">
    <cfRule type="expression" dxfId="29" priority="7">
      <formula>$P$3="OK"</formula>
    </cfRule>
    <cfRule type="expression" dxfId="28" priority="8">
      <formula>$P$3="ERREUR"</formula>
    </cfRule>
  </conditionalFormatting>
  <conditionalFormatting sqref="P3:P4">
    <cfRule type="expression" dxfId="27" priority="13">
      <formula>$P$3="OK"</formula>
    </cfRule>
    <cfRule type="expression" dxfId="26" priority="14">
      <formula>$P$3="ERREUR"</formula>
    </cfRule>
  </conditionalFormatting>
  <conditionalFormatting sqref="N47:N50">
    <cfRule type="expression" dxfId="25" priority="3">
      <formula>$N47="OK"</formula>
    </cfRule>
    <cfRule type="expression" dxfId="24" priority="4">
      <formula>$N47&lt;&gt;"OK"</formula>
    </cfRule>
  </conditionalFormatting>
  <conditionalFormatting sqref="M60">
    <cfRule type="expression" dxfId="23" priority="9">
      <formula>AND(SUM($E$47:$G$61)&lt;&gt;0,$M$60=0)</formula>
    </cfRule>
    <cfRule type="expression" dxfId="22" priority="10">
      <formula>AND(SUM($E$47:$G$61)&lt;&gt;0,$M$60&lt;&gt;0)</formula>
    </cfRule>
  </conditionalFormatting>
  <dataValidations count="1">
    <dataValidation type="list" allowBlank="1" showInputMessage="1" showErrorMessage="1" errorTitle="Mode invalide" error="Choisissez ESP, CHQ, CB ou VIR." promptTitle="Mode de règlement" prompt="Choisissez le mode de règlement." sqref="H11:H40" xr:uid="{00000000-0002-0000-0400-000000000000}">
      <formula1>"ESP,CHQ,CB,VIR"</formula1>
    </dataValidation>
  </dataValidations>
  <pageMargins left="0.75" right="0.75" top="1" bottom="1" header="0.5" footer="0.5"/>
  <pageSetup paperSize="9" orientation="portrait" r:id="rId1"/>
  <drawing r:id="rId2"/>
  <legacyDrawing r:id="rId3"/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ACCUEIL</vt:lpstr>
      <vt:lpstr>CONFIG</vt:lpstr>
      <vt:lpstr>MODELE_JOUR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Jean-Philippe</cp:lastModifiedBy>
  <cp:lastPrinted>2026-03-17T11:00:20Z</cp:lastPrinted>
  <dcterms:created xsi:type="dcterms:W3CDTF">2026-03-10T18:42:51Z</dcterms:created>
  <dcterms:modified xsi:type="dcterms:W3CDTF">2026-03-22T21:08:31Z</dcterms:modified>
</cp:coreProperties>
</file>